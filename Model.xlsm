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filterPrivacy="1" hidePivotFieldList="1"/>
  <xr:revisionPtr revIDLastSave="0" documentId="13_ncr:1_{52B8B4F4-0A79-4E81-82AF-612A76BBC100}" xr6:coauthVersionLast="47" xr6:coauthVersionMax="47" xr10:uidLastSave="{00000000-0000-0000-0000-000000000000}"/>
  <bookViews>
    <workbookView xWindow="-110" yWindow="-110" windowWidth="19420" windowHeight="10560" firstSheet="1" activeTab="4" xr2:uid="{00000000-000D-0000-FFFF-FFFF00000000}"/>
  </bookViews>
  <sheets>
    <sheet name="Raw_Data" sheetId="6" r:id="rId1"/>
    <sheet name="Screening" sheetId="8" r:id="rId2"/>
    <sheet name="Model" sheetId="9" r:id="rId3"/>
    <sheet name="Interactive_Chart" sheetId="10" r:id="rId4"/>
    <sheet name="Different Growth Rate" sheetId="12" r:id="rId5"/>
  </sheets>
  <definedNames>
    <definedName name="solver_adj" localSheetId="4" hidden="1">'Different Growth Rate'!$D$20</definedName>
    <definedName name="solver_adj" localSheetId="3" hidden="1">Interactive_Chart!$D$4</definedName>
    <definedName name="solver_adj" localSheetId="2" hidden="1">Model!$N$19:$P$19</definedName>
    <definedName name="solver_cvg" localSheetId="4" hidden="1">0.0001</definedName>
    <definedName name="solver_cvg" localSheetId="3" hidden="1">0.0001</definedName>
    <definedName name="solver_cvg" localSheetId="2" hidden="1">0.0001</definedName>
    <definedName name="solver_drv" localSheetId="4" hidden="1">2</definedName>
    <definedName name="solver_drv" localSheetId="3" hidden="1">2</definedName>
    <definedName name="solver_drv" localSheetId="2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lhs1" localSheetId="4" hidden="1">'Different Growth Rate'!$C$20</definedName>
    <definedName name="solver_lhs1" localSheetId="3" hidden="1">Interactive_Chart!$C$4</definedName>
    <definedName name="solver_lhs1" localSheetId="2" hidden="1">Model!$N$33</definedName>
    <definedName name="solver_lhs2" localSheetId="2" hidden="1">Model!$O$33</definedName>
    <definedName name="solver_lhs3" localSheetId="2" hidden="1">Model!$Q$33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um" localSheetId="4" hidden="1">1</definedName>
    <definedName name="solver_num" localSheetId="3" hidden="1">1</definedName>
    <definedName name="solver_num" localSheetId="2" hidden="1">3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opt" localSheetId="4" hidden="1">'Different Growth Rate'!$L$20</definedName>
    <definedName name="solver_opt" localSheetId="3" hidden="1">Interactive_Chart!$L$4</definedName>
    <definedName name="solver_opt" localSheetId="2" hidden="1">Model!$V$33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rbv" localSheetId="4" hidden="1">2</definedName>
    <definedName name="solver_rbv" localSheetId="3" hidden="1">2</definedName>
    <definedName name="solver_rbv" localSheetId="2" hidden="1">1</definedName>
    <definedName name="solver_rel1" localSheetId="4" hidden="1">2</definedName>
    <definedName name="solver_rel1" localSheetId="3" hidden="1">2</definedName>
    <definedName name="solver_rel1" localSheetId="2" hidden="1">2</definedName>
    <definedName name="solver_rel2" localSheetId="2" hidden="1">2</definedName>
    <definedName name="solver_rel3" localSheetId="2" hidden="1">2</definedName>
    <definedName name="solver_rhs1" localSheetId="4" hidden="1">'Different Growth Rate'!#REF!</definedName>
    <definedName name="solver_rhs1" localSheetId="3" hidden="1">Interactive_Chart!$P$189</definedName>
    <definedName name="solver_rhs1" localSheetId="2" hidden="1">Model!$N$19</definedName>
    <definedName name="solver_rhs2" localSheetId="2" hidden="1">Model!$O$20</definedName>
    <definedName name="solver_rhs3" localSheetId="2" hidden="1">Model!#REF!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scl" localSheetId="4" hidden="1">2</definedName>
    <definedName name="solver_scl" localSheetId="3" hidden="1">2</definedName>
    <definedName name="solver_scl" localSheetId="2" hidden="1">1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yp" localSheetId="4" hidden="1">3</definedName>
    <definedName name="solver_typ" localSheetId="3" hidden="1">3</definedName>
    <definedName name="solver_typ" localSheetId="2" hidden="1">3</definedName>
    <definedName name="solver_val" localSheetId="4" hidden="1">10</definedName>
    <definedName name="solver_val" localSheetId="3" hidden="1">10</definedName>
    <definedName name="solver_val" localSheetId="2" hidden="1">0.1</definedName>
    <definedName name="solver_ver" localSheetId="4" hidden="1">3</definedName>
    <definedName name="solver_ver" localSheetId="3" hidden="1">3</definedName>
    <definedName name="solver_ver" localSheetId="2" hidden="1">3</definedName>
  </definedNames>
  <calcPr calcId="191028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9" i="12" l="1"/>
  <c r="Z28" i="12"/>
  <c r="Z27" i="12"/>
  <c r="Z26" i="12"/>
  <c r="Z25" i="12"/>
  <c r="Z24" i="12"/>
  <c r="Z23" i="12"/>
  <c r="Z22" i="12"/>
  <c r="Z21" i="12"/>
  <c r="X145" i="12"/>
  <c r="X146" i="12"/>
  <c r="X147" i="12"/>
  <c r="X148" i="12"/>
  <c r="X149" i="12"/>
  <c r="X150" i="12"/>
  <c r="X151" i="12"/>
  <c r="X152" i="12"/>
  <c r="X153" i="12"/>
  <c r="W145" i="12"/>
  <c r="W146" i="12"/>
  <c r="W147" i="12"/>
  <c r="W148" i="12"/>
  <c r="W149" i="12"/>
  <c r="W150" i="12"/>
  <c r="W151" i="12"/>
  <c r="W152" i="12"/>
  <c r="W153" i="12"/>
  <c r="W144" i="12"/>
  <c r="V144" i="12"/>
  <c r="V146" i="12"/>
  <c r="V147" i="12"/>
  <c r="V148" i="12"/>
  <c r="V149" i="12"/>
  <c r="V150" i="12"/>
  <c r="V151" i="12"/>
  <c r="V152" i="12"/>
  <c r="V153" i="12"/>
  <c r="V145" i="12"/>
  <c r="U145" i="12"/>
  <c r="U146" i="12"/>
  <c r="U147" i="12"/>
  <c r="U148" i="12"/>
  <c r="U149" i="12"/>
  <c r="U150" i="12"/>
  <c r="U151" i="12"/>
  <c r="U152" i="12"/>
  <c r="U153" i="12"/>
  <c r="U144" i="12"/>
  <c r="T145" i="12"/>
  <c r="T146" i="12"/>
  <c r="T147" i="12"/>
  <c r="T148" i="12"/>
  <c r="T149" i="12"/>
  <c r="T150" i="12"/>
  <c r="T151" i="12"/>
  <c r="T152" i="12"/>
  <c r="T153" i="12"/>
  <c r="T144" i="12"/>
  <c r="Q145" i="12"/>
  <c r="Q146" i="12"/>
  <c r="Q147" i="12"/>
  <c r="Q148" i="12"/>
  <c r="Q149" i="12"/>
  <c r="Q150" i="12"/>
  <c r="Q151" i="12"/>
  <c r="Q152" i="12"/>
  <c r="Q153" i="12"/>
  <c r="Q144" i="12"/>
  <c r="R145" i="12"/>
  <c r="R146" i="12"/>
  <c r="R147" i="12"/>
  <c r="R148" i="12"/>
  <c r="R149" i="12"/>
  <c r="R150" i="12"/>
  <c r="R151" i="12"/>
  <c r="R152" i="12"/>
  <c r="R153" i="12"/>
  <c r="R144" i="12"/>
  <c r="O145" i="12"/>
  <c r="O146" i="12"/>
  <c r="O147" i="12"/>
  <c r="O148" i="12"/>
  <c r="O149" i="12"/>
  <c r="O150" i="12"/>
  <c r="O151" i="12"/>
  <c r="O152" i="12"/>
  <c r="O153" i="12"/>
  <c r="O144" i="12"/>
  <c r="L145" i="12"/>
  <c r="L146" i="12"/>
  <c r="L147" i="12"/>
  <c r="L148" i="12"/>
  <c r="L149" i="12"/>
  <c r="L150" i="12"/>
  <c r="L151" i="12"/>
  <c r="L152" i="12"/>
  <c r="L153" i="12"/>
  <c r="L144" i="12"/>
  <c r="J145" i="12"/>
  <c r="J146" i="12"/>
  <c r="J147" i="12"/>
  <c r="J148" i="12"/>
  <c r="J149" i="12"/>
  <c r="J150" i="12"/>
  <c r="J151" i="12"/>
  <c r="J152" i="12"/>
  <c r="J153" i="12"/>
  <c r="J144" i="12"/>
  <c r="M153" i="12"/>
  <c r="M152" i="12"/>
  <c r="M151" i="12"/>
  <c r="M150" i="12"/>
  <c r="M149" i="12"/>
  <c r="M148" i="12"/>
  <c r="M147" i="12"/>
  <c r="M146" i="12"/>
  <c r="M145" i="12"/>
  <c r="M144" i="12"/>
  <c r="O27" i="12"/>
  <c r="O20" i="12"/>
  <c r="S22" i="12"/>
  <c r="S23" i="12" s="1"/>
  <c r="S24" i="12" s="1"/>
  <c r="S25" i="12" s="1"/>
  <c r="S26" i="12" s="1"/>
  <c r="S27" i="12" s="1"/>
  <c r="S28" i="12" s="1"/>
  <c r="S29" i="12" s="1"/>
  <c r="P18" i="12"/>
  <c r="U6" i="12"/>
  <c r="V6" i="12" s="1"/>
  <c r="U7" i="12"/>
  <c r="U8" i="12"/>
  <c r="U9" i="12"/>
  <c r="V9" i="12" s="1"/>
  <c r="U10" i="12"/>
  <c r="U11" i="12"/>
  <c r="U12" i="12"/>
  <c r="U13" i="12"/>
  <c r="V13" i="12" s="1"/>
  <c r="U14" i="12"/>
  <c r="U15" i="12"/>
  <c r="T7" i="12"/>
  <c r="T8" i="12"/>
  <c r="T9" i="12"/>
  <c r="T10" i="12"/>
  <c r="T11" i="12"/>
  <c r="T12" i="12"/>
  <c r="T13" i="12"/>
  <c r="T14" i="12"/>
  <c r="T15" i="12"/>
  <c r="T6" i="12"/>
  <c r="S6" i="12"/>
  <c r="S7" i="12" s="1"/>
  <c r="P7" i="12"/>
  <c r="R7" i="12"/>
  <c r="V7" i="12" s="1"/>
  <c r="P8" i="12"/>
  <c r="R8" i="12"/>
  <c r="P9" i="12"/>
  <c r="R9" i="12"/>
  <c r="P10" i="12"/>
  <c r="R10" i="12"/>
  <c r="P11" i="12"/>
  <c r="R11" i="12"/>
  <c r="V11" i="12" s="1"/>
  <c r="P12" i="12"/>
  <c r="R12" i="12"/>
  <c r="P13" i="12"/>
  <c r="R13" i="12"/>
  <c r="P14" i="12"/>
  <c r="R14" i="12"/>
  <c r="P15" i="12"/>
  <c r="R15" i="12"/>
  <c r="V15" i="12" s="1"/>
  <c r="R6" i="12"/>
  <c r="P6" i="12"/>
  <c r="O6" i="12"/>
  <c r="O7" i="12" s="1"/>
  <c r="O8" i="12" s="1"/>
  <c r="O9" i="12" s="1"/>
  <c r="O10" i="12" s="1"/>
  <c r="O11" i="12" s="1"/>
  <c r="O12" i="12" s="1"/>
  <c r="O13" i="12" s="1"/>
  <c r="O14" i="12" s="1"/>
  <c r="O15" i="12" s="1"/>
  <c r="R96" i="12"/>
  <c r="C7" i="12"/>
  <c r="D7" i="12"/>
  <c r="E7" i="12"/>
  <c r="F7" i="12"/>
  <c r="G7" i="12"/>
  <c r="H7" i="12"/>
  <c r="I7" i="12"/>
  <c r="J7" i="12"/>
  <c r="C8" i="12"/>
  <c r="D8" i="12"/>
  <c r="E8" i="12"/>
  <c r="F8" i="12"/>
  <c r="G8" i="12"/>
  <c r="H8" i="12"/>
  <c r="I8" i="12"/>
  <c r="J8" i="12"/>
  <c r="C9" i="12"/>
  <c r="D9" i="12"/>
  <c r="E9" i="12"/>
  <c r="F9" i="12"/>
  <c r="G9" i="12"/>
  <c r="H9" i="12"/>
  <c r="I9" i="12"/>
  <c r="J9" i="12"/>
  <c r="C10" i="12"/>
  <c r="D10" i="12"/>
  <c r="E10" i="12"/>
  <c r="F10" i="12"/>
  <c r="G10" i="12"/>
  <c r="H10" i="12"/>
  <c r="I10" i="12"/>
  <c r="J10" i="12"/>
  <c r="C11" i="12"/>
  <c r="D11" i="12"/>
  <c r="E11" i="12"/>
  <c r="F11" i="12"/>
  <c r="G11" i="12"/>
  <c r="H11" i="12"/>
  <c r="I11" i="12"/>
  <c r="J11" i="12"/>
  <c r="C12" i="12"/>
  <c r="D12" i="12"/>
  <c r="E12" i="12"/>
  <c r="F12" i="12"/>
  <c r="G12" i="12"/>
  <c r="H12" i="12"/>
  <c r="I12" i="12"/>
  <c r="J12" i="12"/>
  <c r="C13" i="12"/>
  <c r="D13" i="12"/>
  <c r="E13" i="12"/>
  <c r="F13" i="12"/>
  <c r="G13" i="12"/>
  <c r="H13" i="12"/>
  <c r="I13" i="12"/>
  <c r="J13" i="12"/>
  <c r="C14" i="12"/>
  <c r="D14" i="12"/>
  <c r="E14" i="12"/>
  <c r="F14" i="12"/>
  <c r="G14" i="12"/>
  <c r="H14" i="12"/>
  <c r="I14" i="12"/>
  <c r="J14" i="12"/>
  <c r="C15" i="12"/>
  <c r="D15" i="12"/>
  <c r="E15" i="12"/>
  <c r="F15" i="12"/>
  <c r="G15" i="12"/>
  <c r="H15" i="12"/>
  <c r="I15" i="12"/>
  <c r="J15" i="12"/>
  <c r="D6" i="12"/>
  <c r="E6" i="12"/>
  <c r="F6" i="12"/>
  <c r="G6" i="12"/>
  <c r="H6" i="12"/>
  <c r="I6" i="12"/>
  <c r="J6" i="12"/>
  <c r="C6" i="12"/>
  <c r="C2" i="12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V105" i="12"/>
  <c r="U105" i="12"/>
  <c r="T105" i="12"/>
  <c r="R105" i="12"/>
  <c r="Q105" i="12"/>
  <c r="O105" i="12"/>
  <c r="L105" i="12"/>
  <c r="J105" i="12"/>
  <c r="H105" i="12"/>
  <c r="F105" i="12"/>
  <c r="D105" i="12"/>
  <c r="V104" i="12"/>
  <c r="U104" i="12"/>
  <c r="T104" i="12"/>
  <c r="R104" i="12"/>
  <c r="Q104" i="12"/>
  <c r="O104" i="12"/>
  <c r="L104" i="12"/>
  <c r="J104" i="12"/>
  <c r="H104" i="12"/>
  <c r="F104" i="12"/>
  <c r="D104" i="12"/>
  <c r="V103" i="12"/>
  <c r="U103" i="12"/>
  <c r="T103" i="12"/>
  <c r="R103" i="12"/>
  <c r="Q103" i="12"/>
  <c r="O103" i="12"/>
  <c r="L103" i="12"/>
  <c r="J103" i="12"/>
  <c r="H103" i="12"/>
  <c r="F103" i="12"/>
  <c r="D103" i="12"/>
  <c r="V102" i="12"/>
  <c r="U102" i="12"/>
  <c r="T102" i="12"/>
  <c r="R102" i="12"/>
  <c r="Q102" i="12"/>
  <c r="O102" i="12"/>
  <c r="L102" i="12"/>
  <c r="J102" i="12"/>
  <c r="H102" i="12"/>
  <c r="F102" i="12"/>
  <c r="D102" i="12"/>
  <c r="V101" i="12"/>
  <c r="U101" i="12"/>
  <c r="T101" i="12"/>
  <c r="R101" i="12"/>
  <c r="Q101" i="12"/>
  <c r="O101" i="12"/>
  <c r="L101" i="12"/>
  <c r="J101" i="12"/>
  <c r="H101" i="12"/>
  <c r="F101" i="12"/>
  <c r="D101" i="12"/>
  <c r="V100" i="12"/>
  <c r="U100" i="12"/>
  <c r="T100" i="12"/>
  <c r="R100" i="12"/>
  <c r="Q100" i="12"/>
  <c r="O100" i="12"/>
  <c r="L100" i="12"/>
  <c r="J100" i="12"/>
  <c r="H100" i="12"/>
  <c r="F100" i="12"/>
  <c r="D100" i="12"/>
  <c r="V99" i="12"/>
  <c r="U99" i="12"/>
  <c r="T99" i="12"/>
  <c r="R99" i="12"/>
  <c r="Q99" i="12"/>
  <c r="O99" i="12"/>
  <c r="L99" i="12"/>
  <c r="J99" i="12"/>
  <c r="H99" i="12"/>
  <c r="F99" i="12"/>
  <c r="D99" i="12"/>
  <c r="V98" i="12"/>
  <c r="U98" i="12"/>
  <c r="T98" i="12"/>
  <c r="R98" i="12"/>
  <c r="Q98" i="12"/>
  <c r="O98" i="12"/>
  <c r="L98" i="12"/>
  <c r="J98" i="12"/>
  <c r="H98" i="12"/>
  <c r="F98" i="12"/>
  <c r="D98" i="12"/>
  <c r="W97" i="12"/>
  <c r="V97" i="12"/>
  <c r="U97" i="12"/>
  <c r="T97" i="12"/>
  <c r="R97" i="12"/>
  <c r="Q97" i="12"/>
  <c r="O97" i="12"/>
  <c r="L97" i="12"/>
  <c r="J97" i="12"/>
  <c r="H97" i="12"/>
  <c r="F97" i="12"/>
  <c r="D97" i="12"/>
  <c r="W96" i="12"/>
  <c r="V96" i="12"/>
  <c r="U96" i="12"/>
  <c r="T96" i="12"/>
  <c r="Q96" i="12"/>
  <c r="O96" i="12"/>
  <c r="L96" i="12"/>
  <c r="J96" i="12"/>
  <c r="H96" i="12"/>
  <c r="F96" i="12"/>
  <c r="D96" i="12"/>
  <c r="S95" i="12"/>
  <c r="P95" i="12"/>
  <c r="N95" i="12"/>
  <c r="K95" i="12"/>
  <c r="I95" i="12"/>
  <c r="G95" i="12"/>
  <c r="E95" i="12"/>
  <c r="C95" i="12"/>
  <c r="S94" i="12"/>
  <c r="P94" i="12"/>
  <c r="N94" i="12"/>
  <c r="K94" i="12"/>
  <c r="I94" i="12"/>
  <c r="G94" i="12"/>
  <c r="E94" i="12"/>
  <c r="C94" i="12"/>
  <c r="S93" i="12"/>
  <c r="P93" i="12"/>
  <c r="N93" i="12"/>
  <c r="K93" i="12"/>
  <c r="I93" i="12"/>
  <c r="G93" i="12"/>
  <c r="E93" i="12"/>
  <c r="C93" i="12"/>
  <c r="S92" i="12"/>
  <c r="P92" i="12"/>
  <c r="N92" i="12"/>
  <c r="K92" i="12"/>
  <c r="I92" i="12"/>
  <c r="G92" i="12"/>
  <c r="E92" i="12"/>
  <c r="C92" i="12"/>
  <c r="S91" i="12"/>
  <c r="P91" i="12"/>
  <c r="N91" i="12"/>
  <c r="K91" i="12"/>
  <c r="I91" i="12"/>
  <c r="G91" i="12"/>
  <c r="E91" i="12"/>
  <c r="C91" i="12"/>
  <c r="S90" i="12"/>
  <c r="P90" i="12"/>
  <c r="N90" i="12"/>
  <c r="K90" i="12"/>
  <c r="I90" i="12"/>
  <c r="G90" i="12"/>
  <c r="E90" i="12"/>
  <c r="C90" i="12"/>
  <c r="S89" i="12"/>
  <c r="P89" i="12"/>
  <c r="N89" i="12"/>
  <c r="K89" i="12"/>
  <c r="I89" i="12"/>
  <c r="G89" i="12"/>
  <c r="E89" i="12"/>
  <c r="C89" i="12"/>
  <c r="S88" i="12"/>
  <c r="P88" i="12"/>
  <c r="N88" i="12"/>
  <c r="K88" i="12"/>
  <c r="I88" i="12"/>
  <c r="G88" i="12"/>
  <c r="E88" i="12"/>
  <c r="C88" i="12"/>
  <c r="S87" i="12"/>
  <c r="P87" i="12"/>
  <c r="N87" i="12"/>
  <c r="K87" i="12"/>
  <c r="I87" i="12"/>
  <c r="G87" i="12"/>
  <c r="E87" i="12"/>
  <c r="C87" i="12"/>
  <c r="S86" i="12"/>
  <c r="P86" i="12"/>
  <c r="N86" i="12"/>
  <c r="K86" i="12"/>
  <c r="I86" i="12"/>
  <c r="G86" i="12"/>
  <c r="E86" i="12"/>
  <c r="C86" i="12"/>
  <c r="S85" i="12"/>
  <c r="P85" i="12"/>
  <c r="N85" i="12"/>
  <c r="K85" i="12"/>
  <c r="I85" i="12"/>
  <c r="G85" i="12"/>
  <c r="E85" i="12"/>
  <c r="C85" i="12"/>
  <c r="S84" i="12"/>
  <c r="P84" i="12"/>
  <c r="N84" i="12"/>
  <c r="K84" i="12"/>
  <c r="I84" i="12"/>
  <c r="G84" i="12"/>
  <c r="E84" i="12"/>
  <c r="C84" i="12"/>
  <c r="S83" i="12"/>
  <c r="P83" i="12"/>
  <c r="N83" i="12"/>
  <c r="K83" i="12"/>
  <c r="I83" i="12"/>
  <c r="G83" i="12"/>
  <c r="E83" i="12"/>
  <c r="C83" i="12"/>
  <c r="S82" i="12"/>
  <c r="P82" i="12"/>
  <c r="N82" i="12"/>
  <c r="K82" i="12"/>
  <c r="I82" i="12"/>
  <c r="G82" i="12"/>
  <c r="E82" i="12"/>
  <c r="C82" i="12"/>
  <c r="S81" i="12"/>
  <c r="P81" i="12"/>
  <c r="N81" i="12"/>
  <c r="K81" i="12"/>
  <c r="I81" i="12"/>
  <c r="G81" i="12"/>
  <c r="E81" i="12"/>
  <c r="C81" i="12"/>
  <c r="S80" i="12"/>
  <c r="P80" i="12"/>
  <c r="N80" i="12"/>
  <c r="K80" i="12"/>
  <c r="I80" i="12"/>
  <c r="G80" i="12"/>
  <c r="E80" i="12"/>
  <c r="C80" i="12"/>
  <c r="S79" i="12"/>
  <c r="P79" i="12"/>
  <c r="N79" i="12"/>
  <c r="K79" i="12"/>
  <c r="I79" i="12"/>
  <c r="G79" i="12"/>
  <c r="E79" i="12"/>
  <c r="C79" i="12"/>
  <c r="S78" i="12"/>
  <c r="P78" i="12"/>
  <c r="N78" i="12"/>
  <c r="K78" i="12"/>
  <c r="I78" i="12"/>
  <c r="G78" i="12"/>
  <c r="E78" i="12"/>
  <c r="C78" i="12"/>
  <c r="S77" i="12"/>
  <c r="P77" i="12"/>
  <c r="N77" i="12"/>
  <c r="K77" i="12"/>
  <c r="I77" i="12"/>
  <c r="G77" i="12"/>
  <c r="E77" i="12"/>
  <c r="C77" i="12"/>
  <c r="S76" i="12"/>
  <c r="P76" i="12"/>
  <c r="N76" i="12"/>
  <c r="K76" i="12"/>
  <c r="I76" i="12"/>
  <c r="G76" i="12"/>
  <c r="E76" i="12"/>
  <c r="C76" i="12"/>
  <c r="S75" i="12"/>
  <c r="P75" i="12"/>
  <c r="N75" i="12"/>
  <c r="K75" i="12"/>
  <c r="I75" i="12"/>
  <c r="G75" i="12"/>
  <c r="E75" i="12"/>
  <c r="C75" i="12"/>
  <c r="S74" i="12"/>
  <c r="P74" i="12"/>
  <c r="N74" i="12"/>
  <c r="K74" i="12"/>
  <c r="I74" i="12"/>
  <c r="G74" i="12"/>
  <c r="E74" i="12"/>
  <c r="C74" i="12"/>
  <c r="S73" i="12"/>
  <c r="P73" i="12"/>
  <c r="N73" i="12"/>
  <c r="K73" i="12"/>
  <c r="I73" i="12"/>
  <c r="G73" i="12"/>
  <c r="E73" i="12"/>
  <c r="C73" i="12"/>
  <c r="S72" i="12"/>
  <c r="P72" i="12"/>
  <c r="N72" i="12"/>
  <c r="K72" i="12"/>
  <c r="I72" i="12"/>
  <c r="G72" i="12"/>
  <c r="E72" i="12"/>
  <c r="C72" i="12"/>
  <c r="S71" i="12"/>
  <c r="P71" i="12"/>
  <c r="N71" i="12"/>
  <c r="K71" i="12"/>
  <c r="I71" i="12"/>
  <c r="G71" i="12"/>
  <c r="E71" i="12"/>
  <c r="C71" i="12"/>
  <c r="S70" i="12"/>
  <c r="P70" i="12"/>
  <c r="N70" i="12"/>
  <c r="K70" i="12"/>
  <c r="I70" i="12"/>
  <c r="G70" i="12"/>
  <c r="E70" i="12"/>
  <c r="C70" i="12"/>
  <c r="S69" i="12"/>
  <c r="P69" i="12"/>
  <c r="N69" i="12"/>
  <c r="K69" i="12"/>
  <c r="I69" i="12"/>
  <c r="G69" i="12"/>
  <c r="E69" i="12"/>
  <c r="C69" i="12"/>
  <c r="S68" i="12"/>
  <c r="P68" i="12"/>
  <c r="N68" i="12"/>
  <c r="K68" i="12"/>
  <c r="I68" i="12"/>
  <c r="G68" i="12"/>
  <c r="E68" i="12"/>
  <c r="C68" i="12"/>
  <c r="S67" i="12"/>
  <c r="P67" i="12"/>
  <c r="N67" i="12"/>
  <c r="K67" i="12"/>
  <c r="I67" i="12"/>
  <c r="G67" i="12"/>
  <c r="E67" i="12"/>
  <c r="C67" i="12"/>
  <c r="S66" i="12"/>
  <c r="P66" i="12"/>
  <c r="N66" i="12"/>
  <c r="K66" i="12"/>
  <c r="I66" i="12"/>
  <c r="G66" i="12"/>
  <c r="E66" i="12"/>
  <c r="C66" i="12"/>
  <c r="S65" i="12"/>
  <c r="P65" i="12"/>
  <c r="N65" i="12"/>
  <c r="K65" i="12"/>
  <c r="I65" i="12"/>
  <c r="G65" i="12"/>
  <c r="E65" i="12"/>
  <c r="C65" i="12"/>
  <c r="S64" i="12"/>
  <c r="P64" i="12"/>
  <c r="N64" i="12"/>
  <c r="K64" i="12"/>
  <c r="I64" i="12"/>
  <c r="G64" i="12"/>
  <c r="E64" i="12"/>
  <c r="C64" i="12"/>
  <c r="S63" i="12"/>
  <c r="P63" i="12"/>
  <c r="N63" i="12"/>
  <c r="K63" i="12"/>
  <c r="I63" i="12"/>
  <c r="G63" i="12"/>
  <c r="E63" i="12"/>
  <c r="C63" i="12"/>
  <c r="S62" i="12"/>
  <c r="P62" i="12"/>
  <c r="N62" i="12"/>
  <c r="K62" i="12"/>
  <c r="I62" i="12"/>
  <c r="G62" i="12"/>
  <c r="E62" i="12"/>
  <c r="C62" i="12"/>
  <c r="S61" i="12"/>
  <c r="P61" i="12"/>
  <c r="N61" i="12"/>
  <c r="K61" i="12"/>
  <c r="I61" i="12"/>
  <c r="G61" i="12"/>
  <c r="E61" i="12"/>
  <c r="C61" i="12"/>
  <c r="S60" i="12"/>
  <c r="P60" i="12"/>
  <c r="N60" i="12"/>
  <c r="K60" i="12"/>
  <c r="I60" i="12"/>
  <c r="G60" i="12"/>
  <c r="E60" i="12"/>
  <c r="C60" i="12"/>
  <c r="I29" i="12"/>
  <c r="J29" i="12" s="1"/>
  <c r="B29" i="12"/>
  <c r="O29" i="12" s="1"/>
  <c r="I28" i="12"/>
  <c r="H28" i="12" s="1"/>
  <c r="B28" i="12"/>
  <c r="O28" i="12" s="1"/>
  <c r="I27" i="12"/>
  <c r="J27" i="12" s="1"/>
  <c r="B27" i="12"/>
  <c r="I26" i="12"/>
  <c r="H26" i="12" s="1"/>
  <c r="B26" i="12"/>
  <c r="O26" i="12" s="1"/>
  <c r="I25" i="12"/>
  <c r="J25" i="12" s="1"/>
  <c r="B25" i="12"/>
  <c r="O25" i="12" s="1"/>
  <c r="I24" i="12"/>
  <c r="H24" i="12" s="1"/>
  <c r="B24" i="12"/>
  <c r="O24" i="12" s="1"/>
  <c r="I23" i="12"/>
  <c r="J23" i="12" s="1"/>
  <c r="B23" i="12"/>
  <c r="O23" i="12" s="1"/>
  <c r="I22" i="12"/>
  <c r="H22" i="12" s="1"/>
  <c r="F22" i="12"/>
  <c r="F23" i="12" s="1"/>
  <c r="B22" i="12"/>
  <c r="O22" i="12" s="1"/>
  <c r="I21" i="12"/>
  <c r="J21" i="12" s="1"/>
  <c r="B21" i="12"/>
  <c r="O21" i="12" s="1"/>
  <c r="A21" i="12"/>
  <c r="A22" i="12" s="1"/>
  <c r="A23" i="12" s="1"/>
  <c r="A24" i="12" s="1"/>
  <c r="A25" i="12" s="1"/>
  <c r="A26" i="12" s="1"/>
  <c r="A27" i="12" s="1"/>
  <c r="A28" i="12" s="1"/>
  <c r="A29" i="12" s="1"/>
  <c r="A30" i="12" s="1"/>
  <c r="I20" i="12"/>
  <c r="B20" i="12"/>
  <c r="C18" i="12"/>
  <c r="V14" i="12" l="1"/>
  <c r="V10" i="12"/>
  <c r="Q6" i="12" a="1"/>
  <c r="Q6" i="12" s="1"/>
  <c r="W6" i="12" s="1"/>
  <c r="V12" i="12"/>
  <c r="V8" i="12"/>
  <c r="V20" i="12"/>
  <c r="W20" i="12" s="1"/>
  <c r="V21" i="12"/>
  <c r="U21" i="12" s="1"/>
  <c r="Q7" i="12" a="1"/>
  <c r="Q7" i="12" s="1"/>
  <c r="W7" i="12" s="1"/>
  <c r="S8" i="12"/>
  <c r="X20" i="12"/>
  <c r="U20" i="12"/>
  <c r="T20" i="12" s="1"/>
  <c r="Y20" i="12"/>
  <c r="J20" i="12"/>
  <c r="M96" i="12" s="1"/>
  <c r="H20" i="12"/>
  <c r="W98" i="12"/>
  <c r="M99" i="12"/>
  <c r="M103" i="12"/>
  <c r="M101" i="12"/>
  <c r="M105" i="12"/>
  <c r="W99" i="12"/>
  <c r="F24" i="12"/>
  <c r="M97" i="12"/>
  <c r="H21" i="12"/>
  <c r="G21" i="12" s="1"/>
  <c r="J22" i="12"/>
  <c r="H23" i="12"/>
  <c r="G23" i="12" s="1"/>
  <c r="J24" i="12"/>
  <c r="K25" i="12" s="1"/>
  <c r="H25" i="12"/>
  <c r="G25" i="12" s="1"/>
  <c r="J26" i="12"/>
  <c r="K27" i="12" s="1"/>
  <c r="H27" i="12"/>
  <c r="G27" i="12" s="1"/>
  <c r="J28" i="12"/>
  <c r="K29" i="12" s="1"/>
  <c r="H29" i="12"/>
  <c r="G29" i="12" s="1"/>
  <c r="D180" i="10"/>
  <c r="E180" i="10"/>
  <c r="F180" i="10"/>
  <c r="G180" i="10"/>
  <c r="H180" i="10"/>
  <c r="I180" i="10"/>
  <c r="J180" i="10"/>
  <c r="K180" i="10"/>
  <c r="L180" i="10"/>
  <c r="M180" i="10"/>
  <c r="D181" i="10"/>
  <c r="E181" i="10"/>
  <c r="F181" i="10"/>
  <c r="G181" i="10"/>
  <c r="H181" i="10"/>
  <c r="I181" i="10"/>
  <c r="J181" i="10"/>
  <c r="K181" i="10"/>
  <c r="L181" i="10"/>
  <c r="M181" i="10"/>
  <c r="D182" i="10"/>
  <c r="E182" i="10"/>
  <c r="F182" i="10"/>
  <c r="G182" i="10"/>
  <c r="H182" i="10"/>
  <c r="I182" i="10"/>
  <c r="J182" i="10"/>
  <c r="K182" i="10"/>
  <c r="L182" i="10"/>
  <c r="M182" i="10"/>
  <c r="D183" i="10"/>
  <c r="E183" i="10"/>
  <c r="F183" i="10"/>
  <c r="G183" i="10"/>
  <c r="H183" i="10"/>
  <c r="I183" i="10"/>
  <c r="J183" i="10"/>
  <c r="K183" i="10"/>
  <c r="L183" i="10"/>
  <c r="M183" i="10"/>
  <c r="D184" i="10"/>
  <c r="E184" i="10"/>
  <c r="F184" i="10"/>
  <c r="G184" i="10"/>
  <c r="H184" i="10"/>
  <c r="I184" i="10"/>
  <c r="J184" i="10"/>
  <c r="K184" i="10"/>
  <c r="L184" i="10"/>
  <c r="M184" i="10"/>
  <c r="D185" i="10"/>
  <c r="E185" i="10"/>
  <c r="F185" i="10"/>
  <c r="G185" i="10"/>
  <c r="H185" i="10"/>
  <c r="I185" i="10"/>
  <c r="J185" i="10"/>
  <c r="K185" i="10"/>
  <c r="L185" i="10"/>
  <c r="M185" i="10"/>
  <c r="D186" i="10"/>
  <c r="E186" i="10"/>
  <c r="F186" i="10"/>
  <c r="G186" i="10"/>
  <c r="H186" i="10"/>
  <c r="I186" i="10"/>
  <c r="J186" i="10"/>
  <c r="K186" i="10"/>
  <c r="L186" i="10"/>
  <c r="M186" i="10"/>
  <c r="D187" i="10"/>
  <c r="E187" i="10"/>
  <c r="F187" i="10"/>
  <c r="G187" i="10"/>
  <c r="H187" i="10"/>
  <c r="I187" i="10"/>
  <c r="J187" i="10"/>
  <c r="K187" i="10"/>
  <c r="L187" i="10"/>
  <c r="M187" i="10"/>
  <c r="D188" i="10"/>
  <c r="E188" i="10"/>
  <c r="F188" i="10"/>
  <c r="G188" i="10"/>
  <c r="H188" i="10"/>
  <c r="I188" i="10"/>
  <c r="J188" i="10"/>
  <c r="K188" i="10"/>
  <c r="L188" i="10"/>
  <c r="M188" i="10"/>
  <c r="D189" i="10"/>
  <c r="E189" i="10"/>
  <c r="F189" i="10"/>
  <c r="G189" i="10"/>
  <c r="H189" i="10"/>
  <c r="I189" i="10"/>
  <c r="J189" i="10"/>
  <c r="K189" i="10"/>
  <c r="L189" i="10"/>
  <c r="M189" i="10"/>
  <c r="D193" i="10"/>
  <c r="E193" i="10"/>
  <c r="F193" i="10"/>
  <c r="G193" i="10"/>
  <c r="H193" i="10"/>
  <c r="I193" i="10"/>
  <c r="J193" i="10"/>
  <c r="K193" i="10"/>
  <c r="L193" i="10"/>
  <c r="M193" i="10"/>
  <c r="D194" i="10"/>
  <c r="E194" i="10"/>
  <c r="F194" i="10"/>
  <c r="G194" i="10"/>
  <c r="H194" i="10"/>
  <c r="I194" i="10"/>
  <c r="J194" i="10"/>
  <c r="K194" i="10"/>
  <c r="L194" i="10"/>
  <c r="M194" i="10"/>
  <c r="D195" i="10"/>
  <c r="E195" i="10"/>
  <c r="F195" i="10"/>
  <c r="G195" i="10"/>
  <c r="H195" i="10"/>
  <c r="I195" i="10"/>
  <c r="J195" i="10"/>
  <c r="K195" i="10"/>
  <c r="L195" i="10"/>
  <c r="M195" i="10"/>
  <c r="D196" i="10"/>
  <c r="E196" i="10"/>
  <c r="F196" i="10"/>
  <c r="G196" i="10"/>
  <c r="H196" i="10"/>
  <c r="I196" i="10"/>
  <c r="J196" i="10"/>
  <c r="K196" i="10"/>
  <c r="L196" i="10"/>
  <c r="M196" i="10"/>
  <c r="D197" i="10"/>
  <c r="E197" i="10"/>
  <c r="F197" i="10"/>
  <c r="G197" i="10"/>
  <c r="H197" i="10"/>
  <c r="I197" i="10"/>
  <c r="J197" i="10"/>
  <c r="K197" i="10"/>
  <c r="L197" i="10"/>
  <c r="M197" i="10"/>
  <c r="D198" i="10"/>
  <c r="E198" i="10"/>
  <c r="F198" i="10"/>
  <c r="G198" i="10"/>
  <c r="H198" i="10"/>
  <c r="I198" i="10"/>
  <c r="J198" i="10"/>
  <c r="K198" i="10"/>
  <c r="L198" i="10"/>
  <c r="M198" i="10"/>
  <c r="D199" i="10"/>
  <c r="E199" i="10"/>
  <c r="F199" i="10"/>
  <c r="G199" i="10"/>
  <c r="H199" i="10"/>
  <c r="I199" i="10"/>
  <c r="J199" i="10"/>
  <c r="K199" i="10"/>
  <c r="L199" i="10"/>
  <c r="M199" i="10"/>
  <c r="D200" i="10"/>
  <c r="E200" i="10"/>
  <c r="F200" i="10"/>
  <c r="G200" i="10"/>
  <c r="H200" i="10"/>
  <c r="I200" i="10"/>
  <c r="J200" i="10"/>
  <c r="K200" i="10"/>
  <c r="L200" i="10"/>
  <c r="M200" i="10"/>
  <c r="D201" i="10"/>
  <c r="E201" i="10"/>
  <c r="F201" i="10"/>
  <c r="G201" i="10"/>
  <c r="H201" i="10"/>
  <c r="I201" i="10"/>
  <c r="J201" i="10"/>
  <c r="K201" i="10"/>
  <c r="L201" i="10"/>
  <c r="M201" i="10"/>
  <c r="C2" i="10"/>
  <c r="B4" i="10"/>
  <c r="I4" i="10"/>
  <c r="H4" i="10" s="1"/>
  <c r="J4" i="10"/>
  <c r="B5" i="10"/>
  <c r="I5" i="10"/>
  <c r="H5" i="10" s="1"/>
  <c r="J5" i="10"/>
  <c r="B6" i="10"/>
  <c r="F6" i="10"/>
  <c r="I6" i="10"/>
  <c r="H6" i="10" s="1"/>
  <c r="J6" i="10"/>
  <c r="B7" i="10"/>
  <c r="F7" i="10"/>
  <c r="F8" i="10" s="1"/>
  <c r="F9" i="10" s="1"/>
  <c r="F10" i="10" s="1"/>
  <c r="F11" i="10" s="1"/>
  <c r="F12" i="10" s="1"/>
  <c r="F13" i="10" s="1"/>
  <c r="I7" i="10"/>
  <c r="H7" i="10" s="1"/>
  <c r="J7" i="10"/>
  <c r="B8" i="10"/>
  <c r="I8" i="10"/>
  <c r="J8" i="10" s="1"/>
  <c r="B9" i="10"/>
  <c r="I9" i="10"/>
  <c r="H9" i="10" s="1"/>
  <c r="B10" i="10"/>
  <c r="I10" i="10"/>
  <c r="H10" i="10" s="1"/>
  <c r="B11" i="10"/>
  <c r="I11" i="10"/>
  <c r="H11" i="10" s="1"/>
  <c r="B12" i="10"/>
  <c r="I12" i="10"/>
  <c r="H12" i="10" s="1"/>
  <c r="B13" i="10"/>
  <c r="I13" i="10"/>
  <c r="H13" i="10" s="1"/>
  <c r="F3" i="9"/>
  <c r="Z20" i="12" l="1"/>
  <c r="X144" i="12"/>
  <c r="W21" i="12"/>
  <c r="S9" i="12"/>
  <c r="V22" i="12"/>
  <c r="Q8" i="12" a="1"/>
  <c r="Q8" i="12" s="1"/>
  <c r="W8" i="12" s="1"/>
  <c r="K20" i="12"/>
  <c r="L20" i="12" s="1"/>
  <c r="X96" i="12" s="1"/>
  <c r="X21" i="12"/>
  <c r="Y21" i="12" s="1"/>
  <c r="T21" i="12"/>
  <c r="K21" i="12"/>
  <c r="L21" i="12" s="1"/>
  <c r="M21" i="12" s="1"/>
  <c r="G20" i="12"/>
  <c r="F25" i="12"/>
  <c r="W100" i="12"/>
  <c r="M102" i="12"/>
  <c r="G26" i="12"/>
  <c r="K26" i="12"/>
  <c r="M98" i="12"/>
  <c r="K22" i="12"/>
  <c r="L22" i="12" s="1"/>
  <c r="G22" i="12"/>
  <c r="M104" i="12"/>
  <c r="K28" i="12"/>
  <c r="G28" i="12"/>
  <c r="M100" i="12"/>
  <c r="K24" i="12"/>
  <c r="L24" i="12" s="1"/>
  <c r="G24" i="12"/>
  <c r="K23" i="12"/>
  <c r="L23" i="12" s="1"/>
  <c r="K5" i="10"/>
  <c r="L5" i="10" s="1"/>
  <c r="M5" i="10" s="1"/>
  <c r="J9" i="10"/>
  <c r="G9" i="10" s="1"/>
  <c r="G7" i="10"/>
  <c r="K6" i="10"/>
  <c r="L6" i="10" s="1"/>
  <c r="M6" i="10" s="1"/>
  <c r="G4" i="10"/>
  <c r="G5" i="10"/>
  <c r="G6" i="10"/>
  <c r="J10" i="10"/>
  <c r="G10" i="10" s="1"/>
  <c r="K8" i="10"/>
  <c r="L8" i="10" s="1"/>
  <c r="M8" i="10" s="1"/>
  <c r="H8" i="10"/>
  <c r="G8" i="10" s="1"/>
  <c r="K7" i="10"/>
  <c r="L7" i="10" s="1"/>
  <c r="M7" i="10" s="1"/>
  <c r="W167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R169" i="10"/>
  <c r="S7" i="9"/>
  <c r="C3" i="9"/>
  <c r="W166" i="10"/>
  <c r="W165" i="10"/>
  <c r="V166" i="10"/>
  <c r="V167" i="10"/>
  <c r="V168" i="10"/>
  <c r="V169" i="10"/>
  <c r="V170" i="10"/>
  <c r="V171" i="10"/>
  <c r="V172" i="10"/>
  <c r="V173" i="10"/>
  <c r="V174" i="10"/>
  <c r="V165" i="10"/>
  <c r="U166" i="10"/>
  <c r="R167" i="10"/>
  <c r="U170" i="10"/>
  <c r="U174" i="10"/>
  <c r="U167" i="10"/>
  <c r="U168" i="10"/>
  <c r="U169" i="10"/>
  <c r="U171" i="10"/>
  <c r="U172" i="10"/>
  <c r="U173" i="10"/>
  <c r="R166" i="10"/>
  <c r="R168" i="10"/>
  <c r="R165" i="10"/>
  <c r="W22" i="12" l="1"/>
  <c r="U22" i="12"/>
  <c r="S10" i="12"/>
  <c r="Q9" i="12" a="1"/>
  <c r="Q9" i="12" s="1"/>
  <c r="W9" i="12" s="1"/>
  <c r="V23" i="12"/>
  <c r="M20" i="12"/>
  <c r="X97" i="12"/>
  <c r="X100" i="12"/>
  <c r="M24" i="12"/>
  <c r="M23" i="12"/>
  <c r="X99" i="12"/>
  <c r="F26" i="12"/>
  <c r="L26" i="12" s="1"/>
  <c r="W101" i="12"/>
  <c r="X98" i="12"/>
  <c r="M22" i="12"/>
  <c r="L25" i="12"/>
  <c r="K9" i="10"/>
  <c r="L9" i="10" s="1"/>
  <c r="M9" i="10" s="1"/>
  <c r="K10" i="10"/>
  <c r="L10" i="10" s="1"/>
  <c r="M10" i="10" s="1"/>
  <c r="J11" i="10"/>
  <c r="U165" i="10"/>
  <c r="I156" i="10"/>
  <c r="I157" i="10"/>
  <c r="I158" i="10"/>
  <c r="I159" i="10"/>
  <c r="I160" i="10"/>
  <c r="I161" i="10"/>
  <c r="I162" i="10"/>
  <c r="I163" i="10"/>
  <c r="I164" i="10"/>
  <c r="I155" i="10"/>
  <c r="K155" i="10"/>
  <c r="L166" i="10"/>
  <c r="L167" i="10"/>
  <c r="L168" i="10"/>
  <c r="L169" i="10"/>
  <c r="L170" i="10"/>
  <c r="L171" i="10"/>
  <c r="L172" i="10"/>
  <c r="L173" i="10"/>
  <c r="L174" i="10"/>
  <c r="L165" i="10"/>
  <c r="K156" i="10"/>
  <c r="K157" i="10"/>
  <c r="K158" i="10"/>
  <c r="K159" i="10"/>
  <c r="K160" i="10"/>
  <c r="K161" i="10"/>
  <c r="K162" i="10"/>
  <c r="K163" i="10"/>
  <c r="K164" i="10"/>
  <c r="K4" i="10" s="1"/>
  <c r="L4" i="10" s="1"/>
  <c r="M4" i="10" s="1"/>
  <c r="P26" i="9"/>
  <c r="P27" i="9"/>
  <c r="P28" i="9"/>
  <c r="P29" i="9"/>
  <c r="P30" i="9"/>
  <c r="P31" i="9"/>
  <c r="P32" i="9"/>
  <c r="P33" i="9"/>
  <c r="AC7" i="9"/>
  <c r="C130" i="10"/>
  <c r="I130" i="10"/>
  <c r="K130" i="10"/>
  <c r="C131" i="10"/>
  <c r="I131" i="10"/>
  <c r="K131" i="10"/>
  <c r="C132" i="10"/>
  <c r="I132" i="10"/>
  <c r="K132" i="10"/>
  <c r="C133" i="10"/>
  <c r="I133" i="10"/>
  <c r="K133" i="10"/>
  <c r="C134" i="10"/>
  <c r="I134" i="10"/>
  <c r="K134" i="10"/>
  <c r="C135" i="10"/>
  <c r="I135" i="10"/>
  <c r="K135" i="10"/>
  <c r="C136" i="10"/>
  <c r="I136" i="10"/>
  <c r="K136" i="10"/>
  <c r="C137" i="10"/>
  <c r="I137" i="10"/>
  <c r="K137" i="10"/>
  <c r="C138" i="10"/>
  <c r="I138" i="10"/>
  <c r="K138" i="10"/>
  <c r="C139" i="10"/>
  <c r="I139" i="10"/>
  <c r="K139" i="10"/>
  <c r="C140" i="10"/>
  <c r="I140" i="10"/>
  <c r="K140" i="10"/>
  <c r="C141" i="10"/>
  <c r="I141" i="10"/>
  <c r="K141" i="10"/>
  <c r="C142" i="10"/>
  <c r="I142" i="10"/>
  <c r="K142" i="10"/>
  <c r="C143" i="10"/>
  <c r="I143" i="10"/>
  <c r="K143" i="10"/>
  <c r="C144" i="10"/>
  <c r="I144" i="10"/>
  <c r="K144" i="10"/>
  <c r="C145" i="10"/>
  <c r="I145" i="10"/>
  <c r="K145" i="10"/>
  <c r="C146" i="10"/>
  <c r="I146" i="10"/>
  <c r="K146" i="10"/>
  <c r="C147" i="10"/>
  <c r="I147" i="10"/>
  <c r="K147" i="10"/>
  <c r="C148" i="10"/>
  <c r="I148" i="10"/>
  <c r="K148" i="10"/>
  <c r="C149" i="10"/>
  <c r="I149" i="10"/>
  <c r="K149" i="10"/>
  <c r="C150" i="10"/>
  <c r="I150" i="10"/>
  <c r="K150" i="10"/>
  <c r="C151" i="10"/>
  <c r="I151" i="10"/>
  <c r="K151" i="10"/>
  <c r="C152" i="10"/>
  <c r="I152" i="10"/>
  <c r="K152" i="10"/>
  <c r="C153" i="10"/>
  <c r="I153" i="10"/>
  <c r="K153" i="10"/>
  <c r="C154" i="10"/>
  <c r="I154" i="10"/>
  <c r="K154" i="10"/>
  <c r="C155" i="10"/>
  <c r="C156" i="10"/>
  <c r="C157" i="10"/>
  <c r="C158" i="10"/>
  <c r="C159" i="10"/>
  <c r="C160" i="10"/>
  <c r="C161" i="10"/>
  <c r="C162" i="10"/>
  <c r="C163" i="10"/>
  <c r="C164" i="10"/>
  <c r="I129" i="10"/>
  <c r="K129" i="10"/>
  <c r="C129" i="10"/>
  <c r="S11" i="12" l="1"/>
  <c r="V24" i="12"/>
  <c r="Q10" i="12" a="1"/>
  <c r="Q10" i="12" s="1"/>
  <c r="W10" i="12" s="1"/>
  <c r="U23" i="12"/>
  <c r="W23" i="12"/>
  <c r="T22" i="12"/>
  <c r="X22" i="12"/>
  <c r="Y22" i="12" s="1"/>
  <c r="X102" i="12"/>
  <c r="M26" i="12"/>
  <c r="F27" i="12"/>
  <c r="W102" i="12"/>
  <c r="M25" i="12"/>
  <c r="X101" i="12"/>
  <c r="J12" i="10"/>
  <c r="J13" i="10"/>
  <c r="G11" i="10"/>
  <c r="K11" i="10"/>
  <c r="L11" i="10" s="1"/>
  <c r="M11" i="10" s="1"/>
  <c r="W168" i="10"/>
  <c r="R170" i="10"/>
  <c r="X23" i="12" l="1"/>
  <c r="Y23" i="12" s="1"/>
  <c r="T23" i="12"/>
  <c r="W24" i="12"/>
  <c r="X24" i="12" s="1"/>
  <c r="Y24" i="12" s="1"/>
  <c r="U24" i="12"/>
  <c r="T24" i="12" s="1"/>
  <c r="S12" i="12"/>
  <c r="V25" i="12"/>
  <c r="Q11" i="12" a="1"/>
  <c r="Q11" i="12" s="1"/>
  <c r="W11" i="12" s="1"/>
  <c r="F28" i="12"/>
  <c r="W103" i="12"/>
  <c r="L27" i="12"/>
  <c r="G13" i="10"/>
  <c r="K13" i="10"/>
  <c r="L13" i="10" s="1"/>
  <c r="M13" i="10" s="1"/>
  <c r="G12" i="10"/>
  <c r="K12" i="10"/>
  <c r="L12" i="10" s="1"/>
  <c r="M12" i="10" s="1"/>
  <c r="W170" i="10"/>
  <c r="W169" i="10"/>
  <c r="R171" i="10"/>
  <c r="G3" i="9"/>
  <c r="D42" i="9"/>
  <c r="E164" i="10" s="1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H8" i="9"/>
  <c r="N130" i="10" s="1"/>
  <c r="H9" i="9"/>
  <c r="N131" i="10" s="1"/>
  <c r="H10" i="9"/>
  <c r="N132" i="10" s="1"/>
  <c r="H11" i="9"/>
  <c r="N133" i="10" s="1"/>
  <c r="H12" i="9"/>
  <c r="N134" i="10" s="1"/>
  <c r="H13" i="9"/>
  <c r="N135" i="10" s="1"/>
  <c r="H14" i="9"/>
  <c r="N136" i="10" s="1"/>
  <c r="H15" i="9"/>
  <c r="N137" i="10" s="1"/>
  <c r="H16" i="9"/>
  <c r="N138" i="10" s="1"/>
  <c r="H17" i="9"/>
  <c r="N139" i="10" s="1"/>
  <c r="H18" i="9"/>
  <c r="N140" i="10" s="1"/>
  <c r="H19" i="9"/>
  <c r="N141" i="10" s="1"/>
  <c r="H20" i="9"/>
  <c r="N142" i="10" s="1"/>
  <c r="H21" i="9"/>
  <c r="N143" i="10" s="1"/>
  <c r="H22" i="9"/>
  <c r="N144" i="10" s="1"/>
  <c r="H23" i="9"/>
  <c r="N145" i="10" s="1"/>
  <c r="H24" i="9"/>
  <c r="N146" i="10" s="1"/>
  <c r="H25" i="9"/>
  <c r="N147" i="10" s="1"/>
  <c r="H26" i="9"/>
  <c r="N148" i="10" s="1"/>
  <c r="H27" i="9"/>
  <c r="N149" i="10" s="1"/>
  <c r="H28" i="9"/>
  <c r="N150" i="10" s="1"/>
  <c r="H29" i="9"/>
  <c r="N151" i="10" s="1"/>
  <c r="H30" i="9"/>
  <c r="N152" i="10" s="1"/>
  <c r="H31" i="9"/>
  <c r="N153" i="10" s="1"/>
  <c r="H32" i="9"/>
  <c r="N154" i="10" s="1"/>
  <c r="H33" i="9"/>
  <c r="N155" i="10" s="1"/>
  <c r="H34" i="9"/>
  <c r="N156" i="10" s="1"/>
  <c r="H35" i="9"/>
  <c r="N157" i="10" s="1"/>
  <c r="H36" i="9"/>
  <c r="N158" i="10" s="1"/>
  <c r="H37" i="9"/>
  <c r="N159" i="10" s="1"/>
  <c r="H38" i="9"/>
  <c r="N160" i="10" s="1"/>
  <c r="H39" i="9"/>
  <c r="N161" i="10" s="1"/>
  <c r="H40" i="9"/>
  <c r="N162" i="10" s="1"/>
  <c r="H41" i="9"/>
  <c r="N163" i="10" s="1"/>
  <c r="H42" i="9"/>
  <c r="N164" i="10" s="1"/>
  <c r="H7" i="9"/>
  <c r="N129" i="10" s="1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E155" i="10" s="1"/>
  <c r="D34" i="9"/>
  <c r="D35" i="9"/>
  <c r="D36" i="9"/>
  <c r="D37" i="9"/>
  <c r="D38" i="9"/>
  <c r="D39" i="9"/>
  <c r="D40" i="9"/>
  <c r="D41" i="9"/>
  <c r="D7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8" i="9"/>
  <c r="U25" i="12" l="1"/>
  <c r="W25" i="12"/>
  <c r="S13" i="12"/>
  <c r="Q12" i="12" a="1"/>
  <c r="Q12" i="12" s="1"/>
  <c r="W12" i="12" s="1"/>
  <c r="V26" i="12"/>
  <c r="M27" i="12"/>
  <c r="X103" i="12"/>
  <c r="F29" i="12"/>
  <c r="W104" i="12"/>
  <c r="L28" i="12"/>
  <c r="J8" i="9"/>
  <c r="E8" i="9"/>
  <c r="W171" i="10"/>
  <c r="R172" i="10"/>
  <c r="E37" i="9"/>
  <c r="G159" i="10" s="1"/>
  <c r="E159" i="10"/>
  <c r="E21" i="9"/>
  <c r="G143" i="10" s="1"/>
  <c r="E143" i="10"/>
  <c r="E9" i="9"/>
  <c r="G131" i="10" s="1"/>
  <c r="E131" i="10"/>
  <c r="E32" i="9"/>
  <c r="E154" i="10"/>
  <c r="E130" i="10"/>
  <c r="E41" i="9"/>
  <c r="G163" i="10" s="1"/>
  <c r="E163" i="10"/>
  <c r="E29" i="9"/>
  <c r="G151" i="10" s="1"/>
  <c r="E151" i="10"/>
  <c r="E17" i="9"/>
  <c r="G139" i="10" s="1"/>
  <c r="E139" i="10"/>
  <c r="E40" i="9"/>
  <c r="E162" i="10"/>
  <c r="E28" i="9"/>
  <c r="E150" i="10"/>
  <c r="E24" i="9"/>
  <c r="E146" i="10"/>
  <c r="E20" i="9"/>
  <c r="E142" i="10"/>
  <c r="E16" i="9"/>
  <c r="E138" i="10"/>
  <c r="E12" i="9"/>
  <c r="E134" i="10"/>
  <c r="E39" i="9"/>
  <c r="G161" i="10" s="1"/>
  <c r="E161" i="10"/>
  <c r="E35" i="9"/>
  <c r="G157" i="10" s="1"/>
  <c r="E157" i="10"/>
  <c r="E31" i="9"/>
  <c r="G153" i="10" s="1"/>
  <c r="E153" i="10"/>
  <c r="E27" i="9"/>
  <c r="G149" i="10" s="1"/>
  <c r="E149" i="10"/>
  <c r="E23" i="9"/>
  <c r="G145" i="10" s="1"/>
  <c r="E145" i="10"/>
  <c r="E19" i="9"/>
  <c r="G141" i="10" s="1"/>
  <c r="E141" i="10"/>
  <c r="E15" i="9"/>
  <c r="G137" i="10" s="1"/>
  <c r="E137" i="10"/>
  <c r="E11" i="9"/>
  <c r="G133" i="10" s="1"/>
  <c r="E133" i="10"/>
  <c r="E25" i="9"/>
  <c r="G147" i="10" s="1"/>
  <c r="E147" i="10"/>
  <c r="E13" i="9"/>
  <c r="G135" i="10" s="1"/>
  <c r="E135" i="10"/>
  <c r="E36" i="9"/>
  <c r="E158" i="10"/>
  <c r="E7" i="9"/>
  <c r="G129" i="10" s="1"/>
  <c r="E129" i="10"/>
  <c r="E38" i="9"/>
  <c r="G160" i="10" s="1"/>
  <c r="E160" i="10"/>
  <c r="E34" i="9"/>
  <c r="G156" i="10" s="1"/>
  <c r="E156" i="10"/>
  <c r="E30" i="9"/>
  <c r="G152" i="10" s="1"/>
  <c r="E152" i="10"/>
  <c r="E26" i="9"/>
  <c r="G148" i="10" s="1"/>
  <c r="E148" i="10"/>
  <c r="E22" i="9"/>
  <c r="G144" i="10" s="1"/>
  <c r="E144" i="10"/>
  <c r="E18" i="9"/>
  <c r="E140" i="10"/>
  <c r="E14" i="9"/>
  <c r="G136" i="10" s="1"/>
  <c r="E136" i="10"/>
  <c r="E10" i="9"/>
  <c r="G132" i="10" s="1"/>
  <c r="E132" i="10"/>
  <c r="E33" i="9"/>
  <c r="G155" i="10" s="1"/>
  <c r="Q7" i="9"/>
  <c r="I7" i="9"/>
  <c r="P129" i="10" s="1"/>
  <c r="AE7" i="9"/>
  <c r="I39" i="9"/>
  <c r="P161" i="10" s="1"/>
  <c r="I15" i="9"/>
  <c r="P137" i="10" s="1"/>
  <c r="I35" i="9"/>
  <c r="P157" i="10" s="1"/>
  <c r="I38" i="9"/>
  <c r="P160" i="10" s="1"/>
  <c r="I37" i="9"/>
  <c r="P159" i="10" s="1"/>
  <c r="I29" i="9"/>
  <c r="P151" i="10" s="1"/>
  <c r="I17" i="9"/>
  <c r="P139" i="10" s="1"/>
  <c r="I9" i="9"/>
  <c r="P131" i="10" s="1"/>
  <c r="N7" i="9"/>
  <c r="D165" i="10" s="1"/>
  <c r="R7" i="9"/>
  <c r="J26" i="9"/>
  <c r="S148" i="10" s="1"/>
  <c r="J14" i="9"/>
  <c r="S136" i="10" s="1"/>
  <c r="J10" i="9"/>
  <c r="S132" i="10" s="1"/>
  <c r="J30" i="9"/>
  <c r="S152" i="10" s="1"/>
  <c r="J38" i="9"/>
  <c r="S160" i="10" s="1"/>
  <c r="J22" i="9"/>
  <c r="S144" i="10" s="1"/>
  <c r="J34" i="9"/>
  <c r="S156" i="10" s="1"/>
  <c r="J18" i="9"/>
  <c r="S140" i="10" s="1"/>
  <c r="E42" i="9"/>
  <c r="J42" i="9"/>
  <c r="J41" i="9"/>
  <c r="S163" i="10" s="1"/>
  <c r="J33" i="9"/>
  <c r="S155" i="10" s="1"/>
  <c r="J25" i="9"/>
  <c r="S147" i="10" s="1"/>
  <c r="J17" i="9"/>
  <c r="S139" i="10" s="1"/>
  <c r="J13" i="9"/>
  <c r="S135" i="10" s="1"/>
  <c r="J9" i="9"/>
  <c r="S131" i="10" s="1"/>
  <c r="J40" i="9"/>
  <c r="S162" i="10" s="1"/>
  <c r="J36" i="9"/>
  <c r="S158" i="10" s="1"/>
  <c r="J32" i="9"/>
  <c r="S154" i="10" s="1"/>
  <c r="J28" i="9"/>
  <c r="S150" i="10" s="1"/>
  <c r="J24" i="9"/>
  <c r="J20" i="9"/>
  <c r="S142" i="10" s="1"/>
  <c r="J16" i="9"/>
  <c r="S138" i="10" s="1"/>
  <c r="J12" i="9"/>
  <c r="S134" i="10" s="1"/>
  <c r="S130" i="10"/>
  <c r="J37" i="9"/>
  <c r="S159" i="10" s="1"/>
  <c r="J29" i="9"/>
  <c r="S151" i="10" s="1"/>
  <c r="J21" i="9"/>
  <c r="S143" i="10" s="1"/>
  <c r="J7" i="9"/>
  <c r="J39" i="9"/>
  <c r="S161" i="10" s="1"/>
  <c r="J35" i="9"/>
  <c r="S157" i="10" s="1"/>
  <c r="J31" i="9"/>
  <c r="S153" i="10" s="1"/>
  <c r="J27" i="9"/>
  <c r="S149" i="10" s="1"/>
  <c r="J23" i="9"/>
  <c r="S145" i="10" s="1"/>
  <c r="J19" i="9"/>
  <c r="S141" i="10" s="1"/>
  <c r="J15" i="9"/>
  <c r="S137" i="10" s="1"/>
  <c r="J11" i="9"/>
  <c r="S133" i="10" s="1"/>
  <c r="W26" i="12" l="1"/>
  <c r="U26" i="12"/>
  <c r="X25" i="12"/>
  <c r="Y25" i="12" s="1"/>
  <c r="T25" i="12"/>
  <c r="S14" i="12"/>
  <c r="Q13" i="12" a="1"/>
  <c r="Q13" i="12" s="1"/>
  <c r="W13" i="12" s="1"/>
  <c r="V27" i="12"/>
  <c r="W105" i="12"/>
  <c r="L29" i="12"/>
  <c r="L30" i="12" s="1"/>
  <c r="X104" i="12"/>
  <c r="M28" i="12"/>
  <c r="G140" i="10"/>
  <c r="I18" i="9"/>
  <c r="P140" i="10" s="1"/>
  <c r="Q8" i="9"/>
  <c r="S24" i="9"/>
  <c r="R24" i="9" s="1"/>
  <c r="T24" i="9" s="1"/>
  <c r="J165" i="10"/>
  <c r="W172" i="10"/>
  <c r="R173" i="10"/>
  <c r="I25" i="9"/>
  <c r="P147" i="10" s="1"/>
  <c r="I22" i="9"/>
  <c r="P144" i="10" s="1"/>
  <c r="I31" i="9"/>
  <c r="P153" i="10" s="1"/>
  <c r="I13" i="9"/>
  <c r="P135" i="10" s="1"/>
  <c r="I11" i="9"/>
  <c r="P133" i="10" s="1"/>
  <c r="I21" i="9"/>
  <c r="P143" i="10" s="1"/>
  <c r="I41" i="9"/>
  <c r="P163" i="10" s="1"/>
  <c r="I26" i="9"/>
  <c r="P148" i="10" s="1"/>
  <c r="I19" i="9"/>
  <c r="P141" i="10" s="1"/>
  <c r="I10" i="9"/>
  <c r="P132" i="10" s="1"/>
  <c r="I34" i="9"/>
  <c r="P156" i="10" s="1"/>
  <c r="I27" i="9"/>
  <c r="P149" i="10" s="1"/>
  <c r="I33" i="9"/>
  <c r="P155" i="10" s="1"/>
  <c r="I14" i="9"/>
  <c r="P136" i="10" s="1"/>
  <c r="I30" i="9"/>
  <c r="P152" i="10" s="1"/>
  <c r="I23" i="9"/>
  <c r="P145" i="10" s="1"/>
  <c r="I12" i="9"/>
  <c r="P134" i="10" s="1"/>
  <c r="G134" i="10"/>
  <c r="I20" i="9"/>
  <c r="P142" i="10" s="1"/>
  <c r="G142" i="10"/>
  <c r="I28" i="9"/>
  <c r="P150" i="10" s="1"/>
  <c r="G150" i="10"/>
  <c r="I32" i="9"/>
  <c r="P154" i="10" s="1"/>
  <c r="G154" i="10"/>
  <c r="K7" i="9"/>
  <c r="S129" i="10"/>
  <c r="S146" i="10"/>
  <c r="G164" i="10"/>
  <c r="J3" i="9"/>
  <c r="S164" i="10"/>
  <c r="I36" i="9"/>
  <c r="P158" i="10" s="1"/>
  <c r="G158" i="10"/>
  <c r="I16" i="9"/>
  <c r="P138" i="10" s="1"/>
  <c r="G138" i="10"/>
  <c r="I24" i="9"/>
  <c r="P146" i="10" s="1"/>
  <c r="G146" i="10"/>
  <c r="I40" i="9"/>
  <c r="P162" i="10" s="1"/>
  <c r="G162" i="10"/>
  <c r="I8" i="9"/>
  <c r="P130" i="10" s="1"/>
  <c r="G130" i="10"/>
  <c r="O165" i="10"/>
  <c r="O7" i="9" a="1"/>
  <c r="O7" i="9" s="1"/>
  <c r="N8" i="9"/>
  <c r="AD20" i="9"/>
  <c r="AC10" i="9"/>
  <c r="I42" i="9"/>
  <c r="K10" i="9"/>
  <c r="R8" i="9"/>
  <c r="K38" i="9"/>
  <c r="K18" i="9"/>
  <c r="K15" i="9"/>
  <c r="K29" i="9"/>
  <c r="K9" i="9"/>
  <c r="K19" i="9"/>
  <c r="K35" i="9"/>
  <c r="K23" i="9"/>
  <c r="K39" i="9"/>
  <c r="K37" i="9"/>
  <c r="K17" i="9"/>
  <c r="U27" i="12" l="1"/>
  <c r="W27" i="12"/>
  <c r="S15" i="12"/>
  <c r="V28" i="12"/>
  <c r="Q14" i="12" a="1"/>
  <c r="Q14" i="12" s="1"/>
  <c r="W14" i="12" s="1"/>
  <c r="T26" i="12"/>
  <c r="X26" i="12"/>
  <c r="Y26" i="12" s="1"/>
  <c r="M29" i="12"/>
  <c r="X105" i="12"/>
  <c r="K11" i="9"/>
  <c r="K25" i="9"/>
  <c r="K13" i="9"/>
  <c r="K27" i="9"/>
  <c r="K26" i="9"/>
  <c r="K28" i="9"/>
  <c r="K12" i="9"/>
  <c r="K22" i="9"/>
  <c r="K36" i="9"/>
  <c r="K8" i="9"/>
  <c r="Q24" i="9"/>
  <c r="U24" i="9"/>
  <c r="J166" i="10"/>
  <c r="S25" i="9"/>
  <c r="R25" i="9" s="1"/>
  <c r="T25" i="9" s="1"/>
  <c r="W174" i="10"/>
  <c r="W173" i="10"/>
  <c r="R174" i="10"/>
  <c r="K33" i="9"/>
  <c r="K31" i="9"/>
  <c r="K40" i="9"/>
  <c r="K14" i="9"/>
  <c r="K32" i="9"/>
  <c r="K30" i="9"/>
  <c r="K20" i="9"/>
  <c r="K16" i="9"/>
  <c r="K21" i="9"/>
  <c r="K41" i="9"/>
  <c r="K34" i="9"/>
  <c r="P7" i="9"/>
  <c r="F165" i="10"/>
  <c r="I3" i="9"/>
  <c r="P164" i="10"/>
  <c r="N9" i="9"/>
  <c r="D166" i="10"/>
  <c r="K24" i="9"/>
  <c r="U7" i="9"/>
  <c r="T165" i="10" s="1"/>
  <c r="Q9" i="9"/>
  <c r="O8" i="9" a="1"/>
  <c r="O8" i="9" s="1"/>
  <c r="U8" i="9" s="1"/>
  <c r="K42" i="9"/>
  <c r="R9" i="9"/>
  <c r="S8" i="9"/>
  <c r="O166" i="10" s="1"/>
  <c r="M7" i="9"/>
  <c r="M8" i="9" s="1"/>
  <c r="M9" i="9" s="1"/>
  <c r="M10" i="9" s="1"/>
  <c r="M11" i="9" s="1"/>
  <c r="M12" i="9" s="1"/>
  <c r="M13" i="9" s="1"/>
  <c r="M14" i="9" s="1"/>
  <c r="M15" i="9" s="1"/>
  <c r="M16" i="9" s="1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17" i="8"/>
  <c r="X27" i="12" l="1"/>
  <c r="Y27" i="12" s="1"/>
  <c r="T27" i="12"/>
  <c r="V29" i="12"/>
  <c r="Q15" i="12" a="1"/>
  <c r="Q15" i="12" s="1"/>
  <c r="W15" i="12" s="1"/>
  <c r="U28" i="12"/>
  <c r="W28" i="12"/>
  <c r="T28" i="12" s="1"/>
  <c r="V24" i="9"/>
  <c r="W24" i="9" s="1"/>
  <c r="U25" i="9"/>
  <c r="Q25" i="9"/>
  <c r="M165" i="10"/>
  <c r="B72" i="10"/>
  <c r="J167" i="10"/>
  <c r="S26" i="9"/>
  <c r="R26" i="9" s="1"/>
  <c r="T26" i="9" s="1"/>
  <c r="D167" i="10"/>
  <c r="N10" i="9"/>
  <c r="D168" i="10" s="1"/>
  <c r="T166" i="10"/>
  <c r="F166" i="10"/>
  <c r="K3" i="9"/>
  <c r="T7" i="9"/>
  <c r="H165" i="10"/>
  <c r="P8" i="9"/>
  <c r="H166" i="10" s="1"/>
  <c r="Q10" i="9"/>
  <c r="O9" i="9" a="1"/>
  <c r="O9" i="9" s="1"/>
  <c r="P9" i="9" s="1"/>
  <c r="S9" i="9"/>
  <c r="O167" i="10" s="1"/>
  <c r="R10" i="9"/>
  <c r="U29" i="12" l="1"/>
  <c r="W29" i="12"/>
  <c r="X28" i="12"/>
  <c r="Y28" i="12" s="1"/>
  <c r="X165" i="10"/>
  <c r="S27" i="9"/>
  <c r="R27" i="9" s="1"/>
  <c r="T27" i="9" s="1"/>
  <c r="J168" i="10"/>
  <c r="M72" i="10"/>
  <c r="M166" i="10"/>
  <c r="Q26" i="9"/>
  <c r="U26" i="9"/>
  <c r="V25" i="9"/>
  <c r="W25" i="9" s="1"/>
  <c r="N11" i="9"/>
  <c r="D169" i="10" s="1"/>
  <c r="T8" i="9"/>
  <c r="V8" i="9" s="1"/>
  <c r="Q165" i="10"/>
  <c r="V7" i="9"/>
  <c r="H167" i="10"/>
  <c r="F167" i="10"/>
  <c r="U9" i="9"/>
  <c r="T167" i="10" s="1"/>
  <c r="Q11" i="9"/>
  <c r="O10" i="9" a="1"/>
  <c r="O10" i="9" s="1"/>
  <c r="T9" i="9"/>
  <c r="S10" i="9"/>
  <c r="O168" i="10" s="1"/>
  <c r="R11" i="9"/>
  <c r="T29" i="12" l="1"/>
  <c r="X29" i="12"/>
  <c r="Y29" i="12" s="1"/>
  <c r="Y30" i="12" s="1"/>
  <c r="V26" i="9"/>
  <c r="W26" i="9" s="1"/>
  <c r="X166" i="10"/>
  <c r="J169" i="10"/>
  <c r="S28" i="9"/>
  <c r="R28" i="9" s="1"/>
  <c r="T28" i="9" s="1"/>
  <c r="M167" i="10"/>
  <c r="X72" i="10"/>
  <c r="U27" i="9"/>
  <c r="Q27" i="9"/>
  <c r="N12" i="9"/>
  <c r="D170" i="10" s="1"/>
  <c r="Q166" i="10"/>
  <c r="P10" i="9"/>
  <c r="H168" i="10" s="1"/>
  <c r="F168" i="10"/>
  <c r="V9" i="9"/>
  <c r="Q167" i="10"/>
  <c r="U10" i="9"/>
  <c r="T168" i="10" s="1"/>
  <c r="Q12" i="9"/>
  <c r="O11" i="9" a="1"/>
  <c r="O11" i="9" s="1"/>
  <c r="R12" i="9"/>
  <c r="S11" i="9"/>
  <c r="O169" i="10" s="1"/>
  <c r="V27" i="9" l="1"/>
  <c r="W27" i="9" s="1"/>
  <c r="J170" i="10"/>
  <c r="S29" i="9"/>
  <c r="R29" i="9" s="1"/>
  <c r="T29" i="9" s="1"/>
  <c r="Q28" i="9"/>
  <c r="U28" i="9"/>
  <c r="B86" i="10"/>
  <c r="M168" i="10"/>
  <c r="X167" i="10"/>
  <c r="N13" i="9"/>
  <c r="D171" i="10" s="1"/>
  <c r="T10" i="9"/>
  <c r="V10" i="9" s="1"/>
  <c r="P11" i="9"/>
  <c r="H169" i="10" s="1"/>
  <c r="F169" i="10"/>
  <c r="Q13" i="9"/>
  <c r="O12" i="9" a="1"/>
  <c r="O12" i="9" s="1"/>
  <c r="U11" i="9"/>
  <c r="T169" i="10" s="1"/>
  <c r="R13" i="9"/>
  <c r="S12" i="9"/>
  <c r="J171" i="10" l="1"/>
  <c r="S30" i="9"/>
  <c r="R30" i="9" s="1"/>
  <c r="T30" i="9" s="1"/>
  <c r="Q29" i="9"/>
  <c r="U29" i="9"/>
  <c r="X168" i="10"/>
  <c r="M169" i="10"/>
  <c r="M86" i="10"/>
  <c r="V28" i="9"/>
  <c r="W28" i="9" s="1"/>
  <c r="N14" i="9"/>
  <c r="D172" i="10" s="1"/>
  <c r="Q168" i="10"/>
  <c r="O170" i="10"/>
  <c r="T11" i="9"/>
  <c r="Q169" i="10" s="1"/>
  <c r="P12" i="9"/>
  <c r="H170" i="10" s="1"/>
  <c r="F170" i="10"/>
  <c r="U12" i="9"/>
  <c r="T170" i="10" s="1"/>
  <c r="Q14" i="9"/>
  <c r="O13" i="9" a="1"/>
  <c r="O13" i="9" s="1"/>
  <c r="R14" i="9"/>
  <c r="S13" i="9"/>
  <c r="M170" i="10" l="1"/>
  <c r="X86" i="10"/>
  <c r="S31" i="9"/>
  <c r="R31" i="9" s="1"/>
  <c r="T31" i="9" s="1"/>
  <c r="J172" i="10"/>
  <c r="X169" i="10"/>
  <c r="Q30" i="9"/>
  <c r="U30" i="9"/>
  <c r="V29" i="9"/>
  <c r="W29" i="9" s="1"/>
  <c r="N15" i="9"/>
  <c r="D173" i="10" s="1"/>
  <c r="O171" i="10"/>
  <c r="T12" i="9"/>
  <c r="V11" i="9"/>
  <c r="P13" i="9"/>
  <c r="H171" i="10" s="1"/>
  <c r="F171" i="10"/>
  <c r="Q15" i="9"/>
  <c r="O14" i="9" a="1"/>
  <c r="O14" i="9" s="1"/>
  <c r="U13" i="9"/>
  <c r="T171" i="10" s="1"/>
  <c r="R15" i="9"/>
  <c r="S14" i="9"/>
  <c r="O172" i="10" s="1"/>
  <c r="M171" i="10" l="1"/>
  <c r="B100" i="10"/>
  <c r="J173" i="10"/>
  <c r="S32" i="9"/>
  <c r="R32" i="9" s="1"/>
  <c r="T32" i="9" s="1"/>
  <c r="X170" i="10"/>
  <c r="V30" i="9"/>
  <c r="W30" i="9" s="1"/>
  <c r="Q31" i="9"/>
  <c r="U31" i="9"/>
  <c r="N16" i="9"/>
  <c r="D174" i="10" s="1"/>
  <c r="T13" i="9"/>
  <c r="Q171" i="10" s="1"/>
  <c r="V12" i="9"/>
  <c r="Q170" i="10"/>
  <c r="P14" i="9"/>
  <c r="H172" i="10" s="1"/>
  <c r="F172" i="10"/>
  <c r="U14" i="9"/>
  <c r="T172" i="10" s="1"/>
  <c r="Q16" i="9"/>
  <c r="O15" i="9" a="1"/>
  <c r="O15" i="9" s="1"/>
  <c r="R16" i="9"/>
  <c r="S15" i="9"/>
  <c r="O173" i="10" s="1"/>
  <c r="V31" i="9" l="1"/>
  <c r="W31" i="9" s="1"/>
  <c r="M172" i="10"/>
  <c r="M100" i="10"/>
  <c r="X171" i="10"/>
  <c r="Q32" i="9"/>
  <c r="U32" i="9"/>
  <c r="J174" i="10"/>
  <c r="S33" i="9"/>
  <c r="R33" i="9" s="1"/>
  <c r="T33" i="9" s="1"/>
  <c r="V13" i="9"/>
  <c r="T14" i="9"/>
  <c r="Q172" i="10" s="1"/>
  <c r="P15" i="9"/>
  <c r="H173" i="10" s="1"/>
  <c r="F173" i="10"/>
  <c r="O16" i="9" a="1"/>
  <c r="O16" i="9" s="1"/>
  <c r="U15" i="9"/>
  <c r="T173" i="10" s="1"/>
  <c r="S16" i="9"/>
  <c r="O174" i="10" s="1"/>
  <c r="V32" i="9" l="1"/>
  <c r="W32" i="9" s="1"/>
  <c r="X172" i="10"/>
  <c r="M173" i="10"/>
  <c r="X100" i="10"/>
  <c r="U33" i="9"/>
  <c r="Q33" i="9"/>
  <c r="V14" i="9"/>
  <c r="T15" i="9"/>
  <c r="Q173" i="10" s="1"/>
  <c r="P16" i="9"/>
  <c r="H174" i="10" s="1"/>
  <c r="F174" i="10"/>
  <c r="U16" i="9"/>
  <c r="T174" i="10" s="1"/>
  <c r="X173" i="10" l="1"/>
  <c r="B114" i="10"/>
  <c r="M174" i="10"/>
  <c r="V33" i="9"/>
  <c r="W33" i="9" s="1"/>
  <c r="V15" i="9"/>
  <c r="T16" i="9"/>
  <c r="V16" i="9" s="1"/>
  <c r="X174" i="10" l="1"/>
  <c r="Q17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<sst xmlns="http://schemas.openxmlformats.org/spreadsheetml/2006/main" count="854" uniqueCount="161">
  <si>
    <t xml:space="preserve">2020 </t>
  </si>
  <si>
    <t xml:space="preserve">2019 </t>
  </si>
  <si>
    <t xml:space="preserve">2018 </t>
  </si>
  <si>
    <t xml:space="preserve">2017 </t>
  </si>
  <si>
    <t xml:space="preserve">2016 </t>
  </si>
  <si>
    <t xml:space="preserve">2015 </t>
  </si>
  <si>
    <t xml:space="preserve">2014 </t>
  </si>
  <si>
    <t xml:space="preserve">2013 </t>
  </si>
  <si>
    <t xml:space="preserve">2012 </t>
  </si>
  <si>
    <t xml:space="preserve">2011 </t>
  </si>
  <si>
    <t xml:space="preserve">2010 </t>
  </si>
  <si>
    <t xml:space="preserve">2009 </t>
  </si>
  <si>
    <t xml:space="preserve">2008 </t>
  </si>
  <si>
    <t xml:space="preserve">2007 </t>
  </si>
  <si>
    <t xml:space="preserve">2006 </t>
  </si>
  <si>
    <t xml:space="preserve">2005 </t>
  </si>
  <si>
    <t xml:space="preserve">2004 </t>
  </si>
  <si>
    <t xml:space="preserve">2003 </t>
  </si>
  <si>
    <t xml:space="preserve">2002 </t>
  </si>
  <si>
    <t xml:space="preserve">2001 </t>
  </si>
  <si>
    <t xml:space="preserve">2000 </t>
  </si>
  <si>
    <t>Total Institutions</t>
  </si>
  <si>
    <t xml:space="preserve">  Primary Schools</t>
  </si>
  <si>
    <t xml:space="preserve">  Secondary Schools</t>
  </si>
  <si>
    <t>Total Students</t>
  </si>
  <si>
    <t>Total Teachers</t>
  </si>
  <si>
    <t>PTR</t>
  </si>
  <si>
    <t xml:space="preserve">1999 </t>
  </si>
  <si>
    <t xml:space="preserve">1998 </t>
  </si>
  <si>
    <t xml:space="preserve">1997 </t>
  </si>
  <si>
    <t xml:space="preserve">1996 </t>
  </si>
  <si>
    <t xml:space="preserve">1995 </t>
  </si>
  <si>
    <t xml:space="preserve">1994 </t>
  </si>
  <si>
    <t xml:space="preserve">1993 </t>
  </si>
  <si>
    <t xml:space="preserve">1992 </t>
  </si>
  <si>
    <t xml:space="preserve">1991 </t>
  </si>
  <si>
    <t xml:space="preserve">1990 </t>
  </si>
  <si>
    <t xml:space="preserve">1989 </t>
  </si>
  <si>
    <t xml:space="preserve">1988 </t>
  </si>
  <si>
    <t xml:space="preserve">1987 </t>
  </si>
  <si>
    <t xml:space="preserve">1986 </t>
  </si>
  <si>
    <t xml:space="preserve">1985 </t>
  </si>
  <si>
    <t>Primary 1</t>
  </si>
  <si>
    <t>Primary 2</t>
  </si>
  <si>
    <t>Primary 3</t>
  </si>
  <si>
    <t>Primary 4</t>
  </si>
  <si>
    <t>Primary 5</t>
  </si>
  <si>
    <t>Primary 6</t>
  </si>
  <si>
    <t>Secondary 1</t>
  </si>
  <si>
    <t>Secondary 2</t>
  </si>
  <si>
    <t>Secondary 3</t>
  </si>
  <si>
    <t>Secondary 4</t>
  </si>
  <si>
    <t>Secondary 5</t>
  </si>
  <si>
    <t>Year</t>
  </si>
  <si>
    <t xml:space="preserve">  Primary Students</t>
  </si>
  <si>
    <t xml:space="preserve">  Secondary Students</t>
  </si>
  <si>
    <t xml:space="preserve">  Primary Teachers</t>
  </si>
  <si>
    <t xml:space="preserve">  Secondary Teachers</t>
  </si>
  <si>
    <t xml:space="preserve">  # Primary Schools</t>
  </si>
  <si>
    <t xml:space="preserve"> # Secondary Schools</t>
  </si>
  <si>
    <t>Data</t>
  </si>
  <si>
    <t>ACS_Primary</t>
  </si>
  <si>
    <t>ACS_Secondary</t>
  </si>
  <si>
    <t>Row Labels</t>
  </si>
  <si>
    <t>Grand Total</t>
  </si>
  <si>
    <t>Sum of no_of_classes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</si>
  <si>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</si>
  <si>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</si>
  <si>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</si>
  <si>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</si>
  <si>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</si>
  <si>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</si>
  <si>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</si>
  <si>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</si>
  <si>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</si>
  <si>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</si>
  <si>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</si>
  <si>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</si>
  <si>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</si>
  <si>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</si>
  <si>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</si>
  <si>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</si>
  <si>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</si>
  <si>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</si>
  <si>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</si>
  <si>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</si>
  <si>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</si>
  <si>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</si>
  <si>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</si>
  <si>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</si>
  <si>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</si>
  <si>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RESIDUAL OUTPUT</t>
  </si>
  <si>
    <t>Observation</t>
  </si>
  <si>
    <t>Predicted Y</t>
  </si>
  <si>
    <t>Residuals</t>
  </si>
  <si>
    <t>Standard Residuals</t>
  </si>
  <si>
    <t>PROBABILITY OUTPUT</t>
  </si>
  <si>
    <t>Percentile</t>
  </si>
  <si>
    <t>Y</t>
  </si>
  <si>
    <t>% increase</t>
  </si>
  <si>
    <t>Gov. Budget</t>
  </si>
  <si>
    <t>Actual</t>
  </si>
  <si>
    <t>Prediction</t>
  </si>
  <si>
    <t>% growth</t>
  </si>
  <si>
    <t># Class</t>
  </si>
  <si>
    <t>#Class/School</t>
  </si>
  <si>
    <t>ACS</t>
  </si>
  <si>
    <t># Teachers</t>
  </si>
  <si>
    <t xml:space="preserve">  # Students</t>
  </si>
  <si>
    <t xml:space="preserve">  #  Schools</t>
  </si>
  <si>
    <t># schools</t>
  </si>
  <si>
    <t>Teachers/School</t>
  </si>
  <si>
    <t>Teachers/Class</t>
  </si>
  <si>
    <t>ACS
(Students/Class)</t>
  </si>
  <si>
    <t>Birth Rate</t>
  </si>
  <si>
    <t># students</t>
  </si>
  <si>
    <t># teachers</t>
  </si>
  <si>
    <t>"Quality"</t>
  </si>
  <si>
    <t>% Teacher Growth</t>
  </si>
  <si>
    <t>% Salary Increase/Teacher</t>
  </si>
  <si>
    <t>Result</t>
  </si>
  <si>
    <t>Sufficient budget?</t>
  </si>
  <si>
    <t>% Increase Spending</t>
  </si>
  <si>
    <t>Data Table</t>
  </si>
  <si>
    <t>Trade Off</t>
  </si>
  <si>
    <t>x</t>
  </si>
  <si>
    <t>Quality = 3</t>
  </si>
  <si>
    <t>Suggestion</t>
  </si>
  <si>
    <t># Students</t>
  </si>
  <si>
    <t>Sufficient?</t>
  </si>
  <si>
    <t>Quality</t>
  </si>
  <si>
    <t># change here</t>
  </si>
  <si>
    <t>Quality
(Teachers/Class)</t>
  </si>
  <si>
    <t>Pred Q</t>
  </si>
  <si>
    <t>Sug Q</t>
  </si>
  <si>
    <t>Pred ACS</t>
  </si>
  <si>
    <t>Sug ACS</t>
  </si>
  <si>
    <t># Teachers 
('000)</t>
  </si>
  <si>
    <t>Pred T
('000)</t>
  </si>
  <si>
    <t>Sug T 
('000)</t>
  </si>
  <si>
    <t xml:space="preserve">  # Students
('0000)</t>
  </si>
  <si>
    <t>Pred S 
('0000)</t>
  </si>
  <si>
    <t>Pred School</t>
  </si>
  <si>
    <t>Pred Class</t>
  </si>
  <si>
    <t>Pred C/S</t>
  </si>
  <si>
    <t>Pred T/S</t>
  </si>
  <si>
    <t>Gov. Budget (%)</t>
  </si>
  <si>
    <t>Salary Increase/
Teacher (%)</t>
  </si>
  <si>
    <t>Teacher salary</t>
  </si>
  <si>
    <t>Interface</t>
  </si>
  <si>
    <t>% Increase in Spending</t>
  </si>
  <si>
    <t>Level</t>
  </si>
  <si>
    <t>#Classes</t>
  </si>
  <si>
    <t>Crude Birth Rate (Per 000 Residents)</t>
  </si>
  <si>
    <t>(use Solver)</t>
  </si>
  <si>
    <t>BEFORE</t>
  </si>
  <si>
    <t>AFTER</t>
  </si>
  <si>
    <t>desire same level of ACS</t>
  </si>
  <si>
    <t>but incur more expenses</t>
  </si>
  <si>
    <t>before</t>
  </si>
  <si>
    <t>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</si>
</sst>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#,##0.##########"/>
    <numFmt numFmtId="165" formatCode="0.0%"/>
    <numFmt numFmtId="166" formatCode="_(* #,##0_);_(* \(#,##0\);_(* &quot;-&quot;??_);_(@_)"/>
    <numFmt numFmtId="167" formatCode="#,##0.0"/>
    <numFmt numFmtId="168" formatCode="0.0"/>
    <numFmt numFmtId="169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606E0"/>
      <name val="Calibri"/>
      <family val="2"/>
      <scheme val="minor"/>
    </font>
    <font>
      <b/>
      <sz val="11"/>
      <color rgb="FF0606E0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name val="Calibri"/>
      <family val="2"/>
    </font>
    <font>
      <b/>
      <sz val="18"/>
      <color rgb="FF0606E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6"/>
      <name val="Calibri"/>
      <family val="2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 wrapText="1"/>
    </xf>
    <xf numFmtId="3" fontId="0" fillId="0" borderId="1" xfId="0" applyNumberFormat="1" applyBorder="1" applyAlignment="1">
      <alignment horizontal="right"/>
    </xf>
    <xf numFmtId="164" fontId="2" fillId="0" borderId="1" xfId="0" applyNumberFormat="1" applyFont="1" applyBorder="1"/>
    <xf numFmtId="164" fontId="0" fillId="3" borderId="1" xfId="0" applyNumberFormat="1" applyFill="1" applyBorder="1"/>
    <xf numFmtId="3" fontId="0" fillId="3" borderId="1" xfId="0" applyNumberFormat="1" applyFill="1" applyBorder="1" applyAlignment="1">
      <alignment horizontal="right"/>
    </xf>
    <xf numFmtId="164" fontId="0" fillId="4" borderId="1" xfId="0" applyNumberFormat="1" applyFill="1" applyBorder="1"/>
    <xf numFmtId="3" fontId="0" fillId="4" borderId="1" xfId="0" applyNumberFormat="1" applyFill="1" applyBorder="1" applyAlignment="1">
      <alignment horizontal="right"/>
    </xf>
    <xf numFmtId="0" fontId="2" fillId="0" borderId="0" xfId="0" applyFont="1"/>
    <xf numFmtId="0" fontId="4" fillId="0" borderId="0" xfId="0" applyFont="1"/>
    <xf numFmtId="164" fontId="2" fillId="0" borderId="1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3" fontId="0" fillId="6" borderId="1" xfId="0" applyNumberFormat="1" applyFill="1" applyBorder="1" applyAlignment="1">
      <alignment horizontal="right"/>
    </xf>
    <xf numFmtId="164" fontId="2" fillId="6" borderId="1" xfId="0" applyNumberFormat="1" applyFont="1" applyFill="1" applyBorder="1" applyAlignment="1">
      <alignment horizontal="center"/>
    </xf>
    <xf numFmtId="0" fontId="0" fillId="0" borderId="2" xfId="0" applyBorder="1"/>
    <xf numFmtId="0" fontId="3" fillId="0" borderId="3" xfId="0" applyFont="1" applyBorder="1" applyAlignment="1">
      <alignment horizontal="center"/>
    </xf>
    <xf numFmtId="0" fontId="2" fillId="2" borderId="2" xfId="0" applyFont="1" applyFill="1" applyBorder="1"/>
    <xf numFmtId="0" fontId="3" fillId="0" borderId="3" xfId="0" applyFont="1" applyBorder="1" applyAlignment="1">
      <alignment horizontal="centerContinuous"/>
    </xf>
    <xf numFmtId="0" fontId="0" fillId="2" borderId="2" xfId="0" applyFill="1" applyBorder="1"/>
    <xf numFmtId="0" fontId="0" fillId="7" borderId="2" xfId="0" applyFill="1" applyBorder="1"/>
    <xf numFmtId="0" fontId="3" fillId="0" borderId="0" xfId="0" applyFont="1"/>
    <xf numFmtId="0" fontId="6" fillId="0" borderId="0" xfId="0" applyFont="1"/>
    <xf numFmtId="0" fontId="0" fillId="0" borderId="1" xfId="0" applyBorder="1"/>
    <xf numFmtId="164" fontId="2" fillId="7" borderId="1" xfId="0" applyNumberFormat="1" applyFont="1" applyFill="1" applyBorder="1" applyAlignment="1">
      <alignment horizontal="center"/>
    </xf>
    <xf numFmtId="3" fontId="0" fillId="7" borderId="1" xfId="0" applyNumberFormat="1" applyFill="1" applyBorder="1" applyAlignment="1">
      <alignment horizontal="right"/>
    </xf>
    <xf numFmtId="1" fontId="0" fillId="0" borderId="1" xfId="0" applyNumberFormat="1" applyBorder="1"/>
    <xf numFmtId="165" fontId="0" fillId="0" borderId="1" xfId="0" applyNumberFormat="1" applyBorder="1"/>
    <xf numFmtId="166" fontId="0" fillId="0" borderId="1" xfId="1" applyNumberFormat="1" applyFont="1" applyBorder="1"/>
    <xf numFmtId="0" fontId="1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164" fontId="2" fillId="7" borderId="1" xfId="0" applyNumberFormat="1" applyFont="1" applyFill="1" applyBorder="1" applyAlignment="1">
      <alignment horizontal="center" vertical="center" wrapText="1"/>
    </xf>
    <xf numFmtId="1" fontId="0" fillId="7" borderId="1" xfId="0" applyNumberFormat="1" applyFill="1" applyBorder="1" applyAlignment="1">
      <alignment horizontal="right"/>
    </xf>
    <xf numFmtId="166" fontId="0" fillId="0" borderId="1" xfId="0" applyNumberFormat="1" applyBorder="1"/>
    <xf numFmtId="3" fontId="0" fillId="8" borderId="1" xfId="0" applyNumberForma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10" fontId="8" fillId="0" borderId="1" xfId="0" applyNumberFormat="1" applyFont="1" applyBorder="1"/>
    <xf numFmtId="165" fontId="0" fillId="2" borderId="1" xfId="0" applyNumberFormat="1" applyFill="1" applyBorder="1"/>
    <xf numFmtId="9" fontId="0" fillId="0" borderId="1" xfId="0" applyNumberFormat="1" applyBorder="1"/>
    <xf numFmtId="0" fontId="0" fillId="0" borderId="0" xfId="0" applyAlignment="1">
      <alignment horizontal="center"/>
    </xf>
    <xf numFmtId="165" fontId="0" fillId="6" borderId="1" xfId="0" applyNumberFormat="1" applyFill="1" applyBorder="1"/>
    <xf numFmtId="165" fontId="9" fillId="0" borderId="0" xfId="0" applyNumberFormat="1" applyFont="1"/>
    <xf numFmtId="168" fontId="0" fillId="0" borderId="1" xfId="0" applyNumberFormat="1" applyBorder="1"/>
    <xf numFmtId="167" fontId="0" fillId="0" borderId="1" xfId="0" applyNumberFormat="1" applyBorder="1" applyAlignment="1">
      <alignment horizontal="right"/>
    </xf>
    <xf numFmtId="167" fontId="10" fillId="0" borderId="1" xfId="0" applyNumberFormat="1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164" fontId="2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Continuous"/>
    </xf>
    <xf numFmtId="0" fontId="3" fillId="0" borderId="0" xfId="0" applyFont="1" applyAlignment="1">
      <alignment horizontal="center"/>
    </xf>
    <xf numFmtId="165" fontId="0" fillId="8" borderId="1" xfId="0" applyNumberFormat="1" applyFill="1" applyBorder="1"/>
    <xf numFmtId="166" fontId="0" fillId="8" borderId="1" xfId="1" applyNumberFormat="1" applyFont="1" applyFill="1" applyBorder="1"/>
    <xf numFmtId="167" fontId="0" fillId="8" borderId="1" xfId="0" applyNumberFormat="1" applyFill="1" applyBorder="1" applyAlignment="1">
      <alignment horizontal="right"/>
    </xf>
    <xf numFmtId="1" fontId="0" fillId="8" borderId="1" xfId="0" applyNumberFormat="1" applyFill="1" applyBorder="1" applyAlignment="1">
      <alignment horizontal="right"/>
    </xf>
    <xf numFmtId="167" fontId="11" fillId="0" borderId="1" xfId="0" quotePrefix="1" applyNumberFormat="1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9" fontId="11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1" fontId="0" fillId="0" borderId="0" xfId="0" applyNumberFormat="1"/>
    <xf numFmtId="167" fontId="0" fillId="0" borderId="1" xfId="0" applyNumberFormat="1" applyBorder="1"/>
    <xf numFmtId="3" fontId="0" fillId="0" borderId="1" xfId="0" applyNumberFormat="1" applyBorder="1"/>
    <xf numFmtId="164" fontId="2" fillId="0" borderId="1" xfId="0" applyNumberFormat="1" applyFont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2" fillId="7" borderId="1" xfId="0" applyFont="1" applyFill="1" applyBorder="1" applyAlignment="1">
      <alignment vertical="center" wrapText="1"/>
    </xf>
    <xf numFmtId="167" fontId="0" fillId="7" borderId="1" xfId="0" applyNumberFormat="1" applyFill="1" applyBorder="1" applyAlignment="1">
      <alignment horizontal="right"/>
    </xf>
    <xf numFmtId="0" fontId="0" fillId="7" borderId="1" xfId="0" applyFill="1" applyBorder="1"/>
    <xf numFmtId="4" fontId="0" fillId="7" borderId="1" xfId="0" applyNumberFormat="1" applyFill="1" applyBorder="1" applyAlignment="1">
      <alignment horizontal="right"/>
    </xf>
    <xf numFmtId="167" fontId="11" fillId="7" borderId="1" xfId="0" applyNumberFormat="1" applyFont="1" applyFill="1" applyBorder="1" applyAlignment="1">
      <alignment horizontal="right"/>
    </xf>
    <xf numFmtId="3" fontId="11" fillId="7" borderId="1" xfId="0" applyNumberFormat="1" applyFont="1" applyFill="1" applyBorder="1" applyAlignment="1">
      <alignment horizontal="right"/>
    </xf>
    <xf numFmtId="165" fontId="11" fillId="7" borderId="1" xfId="0" applyNumberFormat="1" applyFont="1" applyFill="1" applyBorder="1"/>
    <xf numFmtId="4" fontId="10" fillId="7" borderId="1" xfId="0" applyNumberFormat="1" applyFont="1" applyFill="1" applyBorder="1" applyAlignment="1">
      <alignment horizontal="right"/>
    </xf>
    <xf numFmtId="164" fontId="10" fillId="7" borderId="1" xfId="0" applyNumberFormat="1" applyFont="1" applyFill="1" applyBorder="1" applyAlignment="1">
      <alignment horizontal="center" vertical="center" wrapText="1"/>
    </xf>
    <xf numFmtId="164" fontId="11" fillId="2" borderId="1" xfId="0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 wrapText="1"/>
    </xf>
    <xf numFmtId="0" fontId="2" fillId="0" borderId="1" xfId="0" applyFont="1" applyBorder="1"/>
    <xf numFmtId="165" fontId="2" fillId="2" borderId="1" xfId="0" applyNumberFormat="1" applyFont="1" applyFill="1" applyBorder="1"/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164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9" fillId="0" borderId="0" xfId="0" applyFont="1"/>
    <xf numFmtId="168" fontId="9" fillId="0" borderId="0" xfId="0" applyNumberFormat="1" applyFont="1"/>
    <xf numFmtId="168" fontId="0" fillId="0" borderId="0" xfId="0" applyNumberFormat="1"/>
    <xf numFmtId="1" fontId="9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0" fontId="15" fillId="0" borderId="0" xfId="0" applyFont="1"/>
    <xf numFmtId="1" fontId="0" fillId="0" borderId="1" xfId="0" applyNumberFormat="1" applyBorder="1" applyAlignment="1">
      <alignment vertical="center"/>
    </xf>
    <xf numFmtId="0" fontId="11" fillId="2" borderId="0" xfId="0" applyFont="1" applyFill="1"/>
    <xf numFmtId="168" fontId="0" fillId="0" borderId="1" xfId="0" applyNumberFormat="1" applyBorder="1" applyAlignment="1">
      <alignment vertical="center"/>
    </xf>
    <xf numFmtId="10" fontId="0" fillId="0" borderId="0" xfId="0" applyNumberFormat="1"/>
    <xf numFmtId="166" fontId="0" fillId="0" borderId="0" xfId="0" applyNumberFormat="1"/>
    <xf numFmtId="9" fontId="0" fillId="0" borderId="0" xfId="0" applyNumberFormat="1"/>
    <xf numFmtId="0" fontId="0" fillId="0" borderId="0" xfId="0" quotePrefix="1"/>
    <xf numFmtId="0" fontId="17" fillId="0" borderId="1" xfId="0" applyFont="1" applyBorder="1" applyAlignment="1">
      <alignment horizontal="center" vertical="top" wrapText="1"/>
    </xf>
    <xf numFmtId="168" fontId="18" fillId="0" borderId="1" xfId="0" applyNumberFormat="1" applyFont="1" applyBorder="1" applyAlignment="1">
      <alignment horizontal="center"/>
    </xf>
    <xf numFmtId="0" fontId="18" fillId="0" borderId="1" xfId="0" applyFont="1" applyBorder="1"/>
    <xf numFmtId="0" fontId="19" fillId="0" borderId="1" xfId="0" applyFont="1" applyBorder="1"/>
    <xf numFmtId="1" fontId="20" fillId="0" borderId="1" xfId="0" applyNumberFormat="1" applyFont="1" applyBorder="1"/>
    <xf numFmtId="166" fontId="20" fillId="0" borderId="1" xfId="1" applyNumberFormat="1" applyFont="1" applyBorder="1"/>
    <xf numFmtId="169" fontId="20" fillId="0" borderId="1" xfId="0" applyNumberFormat="1" applyFont="1" applyBorder="1"/>
    <xf numFmtId="168" fontId="20" fillId="0" borderId="1" xfId="0" applyNumberFormat="1" applyFont="1" applyBorder="1"/>
    <xf numFmtId="0" fontId="20" fillId="0" borderId="1" xfId="0" applyFont="1" applyBorder="1" applyAlignment="1">
      <alignment horizontal="center"/>
    </xf>
    <xf numFmtId="3" fontId="18" fillId="0" borderId="1" xfId="0" applyNumberFormat="1" applyFont="1" applyBorder="1"/>
    <xf numFmtId="0" fontId="0" fillId="0" borderId="1" xfId="0" applyBorder="1" applyAlignment="1">
      <alignment horizontal="center" vertical="center" wrapText="1"/>
    </xf>
    <xf numFmtId="0" fontId="0" fillId="8" borderId="4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6" fillId="9" borderId="4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65" fontId="21" fillId="0" borderId="1" xfId="0" applyNumberFormat="1" applyFont="1" applyBorder="1"/>
    <xf numFmtId="0" fontId="22" fillId="0" borderId="0" xfId="0" applyFont="1"/>
    <xf numFmtId="0" fontId="23" fillId="0" borderId="1" xfId="0" applyFont="1" applyBorder="1" applyAlignment="1">
      <alignment horizontal="center" vertical="center" wrapText="1"/>
    </xf>
    <xf numFmtId="164" fontId="24" fillId="5" borderId="1" xfId="0" applyNumberFormat="1" applyFont="1" applyFill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7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top" wrapText="1"/>
    </xf>
    <xf numFmtId="1" fontId="21" fillId="0" borderId="1" xfId="0" applyNumberFormat="1" applyFont="1" applyBorder="1"/>
    <xf numFmtId="166" fontId="21" fillId="0" borderId="1" xfId="1" applyNumberFormat="1" applyFont="1" applyBorder="1"/>
    <xf numFmtId="166" fontId="21" fillId="0" borderId="1" xfId="0" applyNumberFormat="1" applyFont="1" applyBorder="1"/>
    <xf numFmtId="168" fontId="21" fillId="0" borderId="1" xfId="0" applyNumberFormat="1" applyFont="1" applyBorder="1"/>
    <xf numFmtId="165" fontId="21" fillId="2" borderId="1" xfId="0" applyNumberFormat="1" applyFont="1" applyFill="1" applyBorder="1"/>
  </cellXfs>
  <cellStyles count="2">
    <cellStyle name="Comma" xfId="1" builtinId="3"/>
    <cellStyle name="Normal" xfId="0" builtinId="0"/>
  </cellStyles>
  <dxfs count="1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6" formatCode="_(* #,##0_);_(* \(#,##0\);_(* &quot;-&quot;??_);_(@_)"/>
    </dxf>
  </dxfs>
  <tableStyles count="0" defaultTableStyle="TableStyleMedium2" defaultPivotStyle="PivotStyleLight16"/>
  <colors>
    <mruColors>
      <color rgb="FF0606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Teachers</a:t>
            </a:r>
            <a:r>
              <a:rPr lang="en-US" baseline="0"/>
              <a:t> vs ACS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Screening!$H$16</c:f>
              <c:strCache>
                <c:ptCount val="1"/>
                <c:pt idx="0">
                  <c:v>ACS_Primary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9594596187303888"/>
                  <c:y val="2.926195061105446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Screening!$G$17:$G$52</c:f>
              <c:numCache>
                <c:formatCode>#,##0</c:formatCode>
                <c:ptCount val="36"/>
                <c:pt idx="0">
                  <c:v>10351</c:v>
                </c:pt>
                <c:pt idx="1">
                  <c:v>10256</c:v>
                </c:pt>
                <c:pt idx="2">
                  <c:v>10190</c:v>
                </c:pt>
                <c:pt idx="3">
                  <c:v>9962</c:v>
                </c:pt>
                <c:pt idx="4">
                  <c:v>9998</c:v>
                </c:pt>
                <c:pt idx="5">
                  <c:v>10006</c:v>
                </c:pt>
                <c:pt idx="6">
                  <c:v>9843</c:v>
                </c:pt>
                <c:pt idx="7">
                  <c:v>10188</c:v>
                </c:pt>
                <c:pt idx="8">
                  <c:v>10711</c:v>
                </c:pt>
                <c:pt idx="9">
                  <c:v>10553</c:v>
                </c:pt>
                <c:pt idx="10">
                  <c:v>10479</c:v>
                </c:pt>
                <c:pt idx="11">
                  <c:v>10649</c:v>
                </c:pt>
                <c:pt idx="12">
                  <c:v>10577</c:v>
                </c:pt>
                <c:pt idx="13">
                  <c:v>10968</c:v>
                </c:pt>
                <c:pt idx="14">
                  <c:v>11272</c:v>
                </c:pt>
                <c:pt idx="15">
                  <c:v>11923</c:v>
                </c:pt>
                <c:pt idx="16">
                  <c:v>12065</c:v>
                </c:pt>
                <c:pt idx="17">
                  <c:v>12423</c:v>
                </c:pt>
                <c:pt idx="18">
                  <c:v>12025</c:v>
                </c:pt>
                <c:pt idx="19">
                  <c:v>12209</c:v>
                </c:pt>
                <c:pt idx="20">
                  <c:v>12022</c:v>
                </c:pt>
                <c:pt idx="21">
                  <c:v>12268</c:v>
                </c:pt>
                <c:pt idx="22">
                  <c:v>12472</c:v>
                </c:pt>
                <c:pt idx="23">
                  <c:v>12723</c:v>
                </c:pt>
                <c:pt idx="24">
                  <c:v>13493</c:v>
                </c:pt>
                <c:pt idx="25">
                  <c:v>13318</c:v>
                </c:pt>
                <c:pt idx="26">
                  <c:v>13586</c:v>
                </c:pt>
                <c:pt idx="27">
                  <c:v>13979</c:v>
                </c:pt>
                <c:pt idx="28">
                  <c:v>14442</c:v>
                </c:pt>
                <c:pt idx="29">
                  <c:v>14343</c:v>
                </c:pt>
                <c:pt idx="30">
                  <c:v>14566</c:v>
                </c:pt>
                <c:pt idx="31">
                  <c:v>14997</c:v>
                </c:pt>
                <c:pt idx="32">
                  <c:v>15183</c:v>
                </c:pt>
                <c:pt idx="33">
                  <c:v>15364</c:v>
                </c:pt>
                <c:pt idx="34">
                  <c:v>15436</c:v>
                </c:pt>
                <c:pt idx="35">
                  <c:v>15682</c:v>
                </c:pt>
              </c:numCache>
            </c:numRef>
          </c:xVal>
          <c:yVal>
            <c:numRef>
              <c:f>Screening!$H$17:$H$52</c:f>
              <c:numCache>
                <c:formatCode>#,##0</c:formatCode>
                <c:ptCount val="36"/>
                <c:pt idx="0">
                  <c:v>40.010799136069117</c:v>
                </c:pt>
                <c:pt idx="1">
                  <c:v>39.732031943212064</c:v>
                </c:pt>
                <c:pt idx="2">
                  <c:v>38.991497613365155</c:v>
                </c:pt>
                <c:pt idx="3">
                  <c:v>38.25734534179832</c:v>
                </c:pt>
                <c:pt idx="4">
                  <c:v>38.238611069891675</c:v>
                </c:pt>
                <c:pt idx="5">
                  <c:v>38.713878041453889</c:v>
                </c:pt>
                <c:pt idx="6">
                  <c:v>39.705235841856208</c:v>
                </c:pt>
                <c:pt idx="7">
                  <c:v>39.486234391454794</c:v>
                </c:pt>
                <c:pt idx="8">
                  <c:v>36.827557058326292</c:v>
                </c:pt>
                <c:pt idx="9">
                  <c:v>37.722422602945599</c:v>
                </c:pt>
                <c:pt idx="10">
                  <c:v>37.375392969419835</c:v>
                </c:pt>
                <c:pt idx="11">
                  <c:v>37.219505456554771</c:v>
                </c:pt>
                <c:pt idx="12">
                  <c:v>37.510236852669614</c:v>
                </c:pt>
                <c:pt idx="13">
                  <c:v>37.510150963040083</c:v>
                </c:pt>
                <c:pt idx="14">
                  <c:v>37.211140057064881</c:v>
                </c:pt>
                <c:pt idx="15">
                  <c:v>37.299292337725717</c:v>
                </c:pt>
                <c:pt idx="16">
                  <c:v>37.409248269040553</c:v>
                </c:pt>
                <c:pt idx="17">
                  <c:v>37.624502487562189</c:v>
                </c:pt>
                <c:pt idx="18">
                  <c:v>37.75667170191339</c:v>
                </c:pt>
                <c:pt idx="19">
                  <c:v>37.650069859011815</c:v>
                </c:pt>
                <c:pt idx="20">
                  <c:v>35.190766550522646</c:v>
                </c:pt>
                <c:pt idx="21">
                  <c:v>33.672252580449303</c:v>
                </c:pt>
                <c:pt idx="22">
                  <c:v>33.681581181035526</c:v>
                </c:pt>
                <c:pt idx="23">
                  <c:v>33.604668395702113</c:v>
                </c:pt>
                <c:pt idx="24">
                  <c:v>33.532001011889705</c:v>
                </c:pt>
                <c:pt idx="25">
                  <c:v>33.385465418616747</c:v>
                </c:pt>
                <c:pt idx="26">
                  <c:v>33.390720553044403</c:v>
                </c:pt>
                <c:pt idx="27">
                  <c:v>33.287244137183137</c:v>
                </c:pt>
                <c:pt idx="28">
                  <c:v>32.706710853355425</c:v>
                </c:pt>
                <c:pt idx="29">
                  <c:v>32.587409672040025</c:v>
                </c:pt>
                <c:pt idx="30">
                  <c:v>32.479064556784763</c:v>
                </c:pt>
                <c:pt idx="31">
                  <c:v>32.337813243735127</c:v>
                </c:pt>
                <c:pt idx="32">
                  <c:v>32.184377199155527</c:v>
                </c:pt>
                <c:pt idx="33">
                  <c:v>32.078713499788407</c:v>
                </c:pt>
                <c:pt idx="34">
                  <c:v>32.017408395339039</c:v>
                </c:pt>
                <c:pt idx="35">
                  <c:v>31.945215175537939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CB-442A-9AA2-86BE21E06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749016"/>
        <c:axId val="637418176"/>
      </c:scatterChart>
      <c:valAx>
        <c:axId val="636749016"/>
        <c:scaling>
          <c:orientation val="minMax"/>
          <c:min val="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Primary School Teachers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418176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6374181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Class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74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Students</a:t>
            </a:r>
            <a:r>
              <a:rPr lang="en-US" baseline="0"/>
              <a:t> vs ACS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Screening!$L$16</c:f>
              <c:strCache>
                <c:ptCount val="1"/>
                <c:pt idx="0">
                  <c:v>ACS_Secondary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5160542432195976E-2"/>
                  <c:y val="-6.206219014289880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Screening!$J$17:$J$52</c:f>
              <c:numCache>
                <c:formatCode>#,##0</c:formatCode>
                <c:ptCount val="36"/>
                <c:pt idx="0">
                  <c:v>163590</c:v>
                </c:pt>
                <c:pt idx="1">
                  <c:v>173538</c:v>
                </c:pt>
                <c:pt idx="2">
                  <c:v>171617</c:v>
                </c:pt>
                <c:pt idx="3">
                  <c:v>168103</c:v>
                </c:pt>
                <c:pt idx="4">
                  <c:v>165829</c:v>
                </c:pt>
                <c:pt idx="5">
                  <c:v>160542</c:v>
                </c:pt>
                <c:pt idx="6">
                  <c:v>156746</c:v>
                </c:pt>
                <c:pt idx="7">
                  <c:v>155832</c:v>
                </c:pt>
                <c:pt idx="8">
                  <c:v>155296</c:v>
                </c:pt>
                <c:pt idx="9">
                  <c:v>173934</c:v>
                </c:pt>
                <c:pt idx="10">
                  <c:v>180982</c:v>
                </c:pt>
                <c:pt idx="11">
                  <c:v>183900</c:v>
                </c:pt>
                <c:pt idx="12">
                  <c:v>186752</c:v>
                </c:pt>
                <c:pt idx="13">
                  <c:v>177896</c:v>
                </c:pt>
                <c:pt idx="14">
                  <c:v>172259</c:v>
                </c:pt>
                <c:pt idx="15">
                  <c:v>175405</c:v>
                </c:pt>
                <c:pt idx="16">
                  <c:v>187081</c:v>
                </c:pt>
                <c:pt idx="17">
                  <c:v>194002</c:v>
                </c:pt>
                <c:pt idx="18">
                  <c:v>206426</c:v>
                </c:pt>
                <c:pt idx="19">
                  <c:v>213534</c:v>
                </c:pt>
                <c:pt idx="20">
                  <c:v>200358</c:v>
                </c:pt>
                <c:pt idx="21">
                  <c:v>200291</c:v>
                </c:pt>
                <c:pt idx="22">
                  <c:v>202858</c:v>
                </c:pt>
                <c:pt idx="23">
                  <c:v>201531</c:v>
                </c:pt>
                <c:pt idx="24">
                  <c:v>199409</c:v>
                </c:pt>
                <c:pt idx="25">
                  <c:v>196220</c:v>
                </c:pt>
                <c:pt idx="26">
                  <c:v>189735</c:v>
                </c:pt>
                <c:pt idx="27">
                  <c:v>184304</c:v>
                </c:pt>
                <c:pt idx="28">
                  <c:v>177672</c:v>
                </c:pt>
                <c:pt idx="29">
                  <c:v>170299</c:v>
                </c:pt>
                <c:pt idx="30">
                  <c:v>166392</c:v>
                </c:pt>
                <c:pt idx="31">
                  <c:v>160662</c:v>
                </c:pt>
                <c:pt idx="32">
                  <c:v>152447</c:v>
                </c:pt>
                <c:pt idx="33">
                  <c:v>146480</c:v>
                </c:pt>
                <c:pt idx="34">
                  <c:v>143290</c:v>
                </c:pt>
                <c:pt idx="35">
                  <c:v>143468</c:v>
                </c:pt>
              </c:numCache>
            </c:numRef>
          </c:xVal>
          <c:yVal>
            <c:numRef>
              <c:f>Screening!$L$17:$L$52</c:f>
              <c:numCache>
                <c:formatCode>#,##0</c:formatCode>
                <c:ptCount val="36"/>
                <c:pt idx="0">
                  <c:v>32.809867629362216</c:v>
                </c:pt>
                <c:pt idx="1">
                  <c:v>33.624878899438094</c:v>
                </c:pt>
                <c:pt idx="2">
                  <c:v>33.492779078844656</c:v>
                </c:pt>
                <c:pt idx="3">
                  <c:v>34.097971602434079</c:v>
                </c:pt>
                <c:pt idx="4">
                  <c:v>32.804945598417412</c:v>
                </c:pt>
                <c:pt idx="5">
                  <c:v>32.570906877662814</c:v>
                </c:pt>
                <c:pt idx="6">
                  <c:v>32.272184476013997</c:v>
                </c:pt>
                <c:pt idx="7">
                  <c:v>31.692495424039048</c:v>
                </c:pt>
                <c:pt idx="8">
                  <c:v>31.706002449979582</c:v>
                </c:pt>
                <c:pt idx="9">
                  <c:v>34.510714285714286</c:v>
                </c:pt>
                <c:pt idx="10">
                  <c:v>34.871290944123317</c:v>
                </c:pt>
                <c:pt idx="11">
                  <c:v>34.822950198825978</c:v>
                </c:pt>
                <c:pt idx="12">
                  <c:v>34.475170758722541</c:v>
                </c:pt>
                <c:pt idx="13">
                  <c:v>34.099290780141843</c:v>
                </c:pt>
                <c:pt idx="14">
                  <c:v>34.534683239775461</c:v>
                </c:pt>
                <c:pt idx="15">
                  <c:v>35.16539695268645</c:v>
                </c:pt>
                <c:pt idx="16">
                  <c:v>35.736580706781282</c:v>
                </c:pt>
                <c:pt idx="17">
                  <c:v>36.053149972124139</c:v>
                </c:pt>
                <c:pt idx="18">
                  <c:v>36.535575221238936</c:v>
                </c:pt>
                <c:pt idx="19">
                  <c:v>36.683387734066315</c:v>
                </c:pt>
                <c:pt idx="20">
                  <c:v>34.325509679629945</c:v>
                </c:pt>
                <c:pt idx="21">
                  <c:v>33.924627371273715</c:v>
                </c:pt>
                <c:pt idx="22">
                  <c:v>34.174191374663074</c:v>
                </c:pt>
                <c:pt idx="23">
                  <c:v>33.962082912032358</c:v>
                </c:pt>
                <c:pt idx="24">
                  <c:v>33.542304457527337</c:v>
                </c:pt>
                <c:pt idx="25">
                  <c:v>33.456095481670928</c:v>
                </c:pt>
                <c:pt idx="26">
                  <c:v>33.089466341123128</c:v>
                </c:pt>
                <c:pt idx="27">
                  <c:v>32.689606243348706</c:v>
                </c:pt>
                <c:pt idx="28">
                  <c:v>31.8751345532831</c:v>
                </c:pt>
                <c:pt idx="29">
                  <c:v>31.08213177587151</c:v>
                </c:pt>
                <c:pt idx="30">
                  <c:v>30.671336405529953</c:v>
                </c:pt>
                <c:pt idx="31">
                  <c:v>30.434173138852056</c:v>
                </c:pt>
                <c:pt idx="32">
                  <c:v>30.127865612648222</c:v>
                </c:pt>
                <c:pt idx="33">
                  <c:v>29.955010224948875</c:v>
                </c:pt>
                <c:pt idx="34">
                  <c:v>29.380766864875948</c:v>
                </c:pt>
                <c:pt idx="35">
                  <c:v>29.27320954907162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D2-4B71-9038-BF57F0415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19448"/>
        <c:axId val="798320104"/>
      </c:scatterChart>
      <c:valAx>
        <c:axId val="798319448"/>
        <c:scaling>
          <c:orientation val="minMax"/>
          <c:min val="1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Secondary School Students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320104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7983201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Class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31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Screening!$F$16</c:f>
              <c:strCache>
                <c:ptCount val="1"/>
                <c:pt idx="0">
                  <c:v>  Primary Students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Screening!$A$17:$A$52</c:f>
              <c:numCache>
                <c:formatCode>General</c:formatCode>
                <c:ptCount val="3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  <c:pt idx="26">
                  <c:v>2011</c:v>
                </c:pt>
                <c:pt idx="27">
                  <c:v>2012</c:v>
                </c:pt>
                <c:pt idx="28">
                  <c:v>2013</c:v>
                </c:pt>
                <c:pt idx="29">
                  <c:v>2014</c:v>
                </c:pt>
                <c:pt idx="30">
                  <c:v>2015</c:v>
                </c:pt>
                <c:pt idx="31">
                  <c:v>2016</c:v>
                </c:pt>
                <c:pt idx="32">
                  <c:v>2017</c:v>
                </c:pt>
                <c:pt idx="33">
                  <c:v>2018</c:v>
                </c:pt>
                <c:pt idx="34">
                  <c:v>2019</c:v>
                </c:pt>
                <c:pt idx="35">
                  <c:v>2020</c:v>
                </c:pt>
              </c:numCache>
            </c:numRef>
          </c:cat>
          <c:val>
            <c:numRef>
              <c:f>Screening!$F$17:$F$52</c:f>
              <c:numCache>
                <c:formatCode>#,##0</c:formatCode>
                <c:ptCount val="36"/>
                <c:pt idx="0">
                  <c:v>277875</c:v>
                </c:pt>
                <c:pt idx="1">
                  <c:v>268668</c:v>
                </c:pt>
                <c:pt idx="2">
                  <c:v>261399</c:v>
                </c:pt>
                <c:pt idx="3">
                  <c:v>259117</c:v>
                </c:pt>
                <c:pt idx="4">
                  <c:v>257690</c:v>
                </c:pt>
                <c:pt idx="5">
                  <c:v>257757</c:v>
                </c:pt>
                <c:pt idx="6">
                  <c:v>260109</c:v>
                </c:pt>
                <c:pt idx="7">
                  <c:v>262465</c:v>
                </c:pt>
                <c:pt idx="8">
                  <c:v>261402</c:v>
                </c:pt>
                <c:pt idx="9">
                  <c:v>251005</c:v>
                </c:pt>
                <c:pt idx="10">
                  <c:v>261553</c:v>
                </c:pt>
                <c:pt idx="11">
                  <c:v>269432</c:v>
                </c:pt>
                <c:pt idx="12">
                  <c:v>280314</c:v>
                </c:pt>
                <c:pt idx="13">
                  <c:v>288228</c:v>
                </c:pt>
                <c:pt idx="14">
                  <c:v>299959</c:v>
                </c:pt>
                <c:pt idx="15">
                  <c:v>305705</c:v>
                </c:pt>
                <c:pt idx="16">
                  <c:v>302566</c:v>
                </c:pt>
                <c:pt idx="17">
                  <c:v>302501</c:v>
                </c:pt>
                <c:pt idx="18">
                  <c:v>299939</c:v>
                </c:pt>
                <c:pt idx="19">
                  <c:v>296419</c:v>
                </c:pt>
                <c:pt idx="20">
                  <c:v>282793</c:v>
                </c:pt>
                <c:pt idx="21">
                  <c:v>277291</c:v>
                </c:pt>
                <c:pt idx="22">
                  <c:v>277772</c:v>
                </c:pt>
                <c:pt idx="23">
                  <c:v>272097</c:v>
                </c:pt>
                <c:pt idx="24">
                  <c:v>265104</c:v>
                </c:pt>
                <c:pt idx="25">
                  <c:v>256801</c:v>
                </c:pt>
                <c:pt idx="26">
                  <c:v>251165</c:v>
                </c:pt>
                <c:pt idx="27">
                  <c:v>245560</c:v>
                </c:pt>
                <c:pt idx="28">
                  <c:v>236862</c:v>
                </c:pt>
                <c:pt idx="29">
                  <c:v>234499</c:v>
                </c:pt>
                <c:pt idx="30">
                  <c:v>231933</c:v>
                </c:pt>
                <c:pt idx="31">
                  <c:v>230989</c:v>
                </c:pt>
                <c:pt idx="32">
                  <c:v>228670</c:v>
                </c:pt>
                <c:pt idx="33">
                  <c:v>227406</c:v>
                </c:pt>
                <c:pt idx="34">
                  <c:v>228060</c:v>
                </c:pt>
                <c:pt idx="35">
                  <c:v>225661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8-4B19-8642-746C716D9277}"/>
            </c:ext>
          </c:extLst>
        </c:ser>
        <c:ser>
          <c:idx val="2"/>
          <c:order val="2"/>
          <c:tx>
            <c:strRef>
              <c:f>Screening!$J$16</c:f>
              <c:strCache>
                <c:ptCount val="1"/>
                <c:pt idx="0">
                  <c:v>  Secondary Students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Screening!$A$17:$A$52</c:f>
              <c:numCache>
                <c:formatCode>General</c:formatCode>
                <c:ptCount val="3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  <c:pt idx="26">
                  <c:v>2011</c:v>
                </c:pt>
                <c:pt idx="27">
                  <c:v>2012</c:v>
                </c:pt>
                <c:pt idx="28">
                  <c:v>2013</c:v>
                </c:pt>
                <c:pt idx="29">
                  <c:v>2014</c:v>
                </c:pt>
                <c:pt idx="30">
                  <c:v>2015</c:v>
                </c:pt>
                <c:pt idx="31">
                  <c:v>2016</c:v>
                </c:pt>
                <c:pt idx="32">
                  <c:v>2017</c:v>
                </c:pt>
                <c:pt idx="33">
                  <c:v>2018</c:v>
                </c:pt>
                <c:pt idx="34">
                  <c:v>2019</c:v>
                </c:pt>
                <c:pt idx="35">
                  <c:v>2020</c:v>
                </c:pt>
              </c:numCache>
            </c:numRef>
          </c:cat>
          <c:val>
            <c:numRef>
              <c:f>Screening!$J$17:$J$52</c:f>
              <c:numCache>
                <c:formatCode>#,##0</c:formatCode>
                <c:ptCount val="36"/>
                <c:pt idx="0">
                  <c:v>163590</c:v>
                </c:pt>
                <c:pt idx="1">
                  <c:v>173538</c:v>
                </c:pt>
                <c:pt idx="2">
                  <c:v>171617</c:v>
                </c:pt>
                <c:pt idx="3">
                  <c:v>168103</c:v>
                </c:pt>
                <c:pt idx="4">
                  <c:v>165829</c:v>
                </c:pt>
                <c:pt idx="5">
                  <c:v>160542</c:v>
                </c:pt>
                <c:pt idx="6">
                  <c:v>156746</c:v>
                </c:pt>
                <c:pt idx="7">
                  <c:v>155832</c:v>
                </c:pt>
                <c:pt idx="8">
                  <c:v>155296</c:v>
                </c:pt>
                <c:pt idx="9">
                  <c:v>173934</c:v>
                </c:pt>
                <c:pt idx="10">
                  <c:v>180982</c:v>
                </c:pt>
                <c:pt idx="11">
                  <c:v>183900</c:v>
                </c:pt>
                <c:pt idx="12">
                  <c:v>186752</c:v>
                </c:pt>
                <c:pt idx="13">
                  <c:v>177896</c:v>
                </c:pt>
                <c:pt idx="14">
                  <c:v>172259</c:v>
                </c:pt>
                <c:pt idx="15">
                  <c:v>175405</c:v>
                </c:pt>
                <c:pt idx="16">
                  <c:v>187081</c:v>
                </c:pt>
                <c:pt idx="17">
                  <c:v>194002</c:v>
                </c:pt>
                <c:pt idx="18">
                  <c:v>206426</c:v>
                </c:pt>
                <c:pt idx="19">
                  <c:v>213534</c:v>
                </c:pt>
                <c:pt idx="20">
                  <c:v>200358</c:v>
                </c:pt>
                <c:pt idx="21">
                  <c:v>200291</c:v>
                </c:pt>
                <c:pt idx="22">
                  <c:v>202858</c:v>
                </c:pt>
                <c:pt idx="23">
                  <c:v>201531</c:v>
                </c:pt>
                <c:pt idx="24">
                  <c:v>199409</c:v>
                </c:pt>
                <c:pt idx="25">
                  <c:v>196220</c:v>
                </c:pt>
                <c:pt idx="26">
                  <c:v>189735</c:v>
                </c:pt>
                <c:pt idx="27">
                  <c:v>184304</c:v>
                </c:pt>
                <c:pt idx="28">
                  <c:v>177672</c:v>
                </c:pt>
                <c:pt idx="29">
                  <c:v>170299</c:v>
                </c:pt>
                <c:pt idx="30">
                  <c:v>166392</c:v>
                </c:pt>
                <c:pt idx="31">
                  <c:v>160662</c:v>
                </c:pt>
                <c:pt idx="32">
                  <c:v>152447</c:v>
                </c:pt>
                <c:pt idx="33">
                  <c:v>146480</c:v>
                </c:pt>
                <c:pt idx="34">
                  <c:v>143290</c:v>
                </c:pt>
                <c:pt idx="35">
                  <c:v>143468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8-4B19-8642-746C716D9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981888"/>
        <c:axId val="869982216"/>
      </c:lineChart>
      <c:lineChart>
        <c:grouping val="standard"/>
        <c:varyColors val="0"/>
        <c:ser>
          <c:idx val="1"/>
          <c:order val="1"/>
          <c:tx>
            <c:strRef>
              <c:f>Screening!$G$16</c:f>
              <c:strCache>
                <c:ptCount val="1"/>
                <c:pt idx="0">
                  <c:v>  Primary Teachers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Screening!$G$17:$G$52</c:f>
              <c:numCache>
                <c:formatCode>#,##0</c:formatCode>
                <c:ptCount val="36"/>
                <c:pt idx="0">
                  <c:v>10351</c:v>
                </c:pt>
                <c:pt idx="1">
                  <c:v>10256</c:v>
                </c:pt>
                <c:pt idx="2">
                  <c:v>10190</c:v>
                </c:pt>
                <c:pt idx="3">
                  <c:v>9962</c:v>
                </c:pt>
                <c:pt idx="4">
                  <c:v>9998</c:v>
                </c:pt>
                <c:pt idx="5">
                  <c:v>10006</c:v>
                </c:pt>
                <c:pt idx="6">
                  <c:v>9843</c:v>
                </c:pt>
                <c:pt idx="7">
                  <c:v>10188</c:v>
                </c:pt>
                <c:pt idx="8">
                  <c:v>10711</c:v>
                </c:pt>
                <c:pt idx="9">
                  <c:v>10553</c:v>
                </c:pt>
                <c:pt idx="10">
                  <c:v>10479</c:v>
                </c:pt>
                <c:pt idx="11">
                  <c:v>10649</c:v>
                </c:pt>
                <c:pt idx="12">
                  <c:v>10577</c:v>
                </c:pt>
                <c:pt idx="13">
                  <c:v>10968</c:v>
                </c:pt>
                <c:pt idx="14">
                  <c:v>11272</c:v>
                </c:pt>
                <c:pt idx="15">
                  <c:v>11923</c:v>
                </c:pt>
                <c:pt idx="16">
                  <c:v>12065</c:v>
                </c:pt>
                <c:pt idx="17">
                  <c:v>12423</c:v>
                </c:pt>
                <c:pt idx="18">
                  <c:v>12025</c:v>
                </c:pt>
                <c:pt idx="19">
                  <c:v>12209</c:v>
                </c:pt>
                <c:pt idx="20">
                  <c:v>12022</c:v>
                </c:pt>
                <c:pt idx="21">
                  <c:v>12268</c:v>
                </c:pt>
                <c:pt idx="22">
                  <c:v>12472</c:v>
                </c:pt>
                <c:pt idx="23">
                  <c:v>12723</c:v>
                </c:pt>
                <c:pt idx="24">
                  <c:v>13493</c:v>
                </c:pt>
                <c:pt idx="25">
                  <c:v>13318</c:v>
                </c:pt>
                <c:pt idx="26">
                  <c:v>13586</c:v>
                </c:pt>
                <c:pt idx="27">
                  <c:v>13979</c:v>
                </c:pt>
                <c:pt idx="28">
                  <c:v>14442</c:v>
                </c:pt>
                <c:pt idx="29">
                  <c:v>14343</c:v>
                </c:pt>
                <c:pt idx="30">
                  <c:v>14566</c:v>
                </c:pt>
                <c:pt idx="31">
                  <c:v>14997</c:v>
                </c:pt>
                <c:pt idx="32">
                  <c:v>15183</c:v>
                </c:pt>
                <c:pt idx="33">
                  <c:v>15364</c:v>
                </c:pt>
                <c:pt idx="34">
                  <c:v>15436</c:v>
                </c:pt>
                <c:pt idx="35">
                  <c:v>15682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8-4B19-8642-746C716D9277}"/>
            </c:ext>
          </c:extLst>
        </c:ser>
        <c:ser>
          <c:idx val="3"/>
          <c:order val="3"/>
          <c:tx>
            <c:strRef>
              <c:f>Screening!$K$16</c:f>
              <c:strCache>
                <c:ptCount val="1"/>
                <c:pt idx="0">
                  <c:v>  Secondary Teachers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Screening!$K$17:$K$52</c:f>
              <c:numCache>
                <c:formatCode>#,##0</c:formatCode>
                <c:ptCount val="36"/>
                <c:pt idx="0">
                  <c:v>7494</c:v>
                </c:pt>
                <c:pt idx="1">
                  <c:v>7521</c:v>
                </c:pt>
                <c:pt idx="2">
                  <c:v>7933</c:v>
                </c:pt>
                <c:pt idx="3">
                  <c:v>7595</c:v>
                </c:pt>
                <c:pt idx="4">
                  <c:v>7665</c:v>
                </c:pt>
                <c:pt idx="5">
                  <c:v>7586</c:v>
                </c:pt>
                <c:pt idx="6">
                  <c:v>7532</c:v>
                </c:pt>
                <c:pt idx="7">
                  <c:v>7588</c:v>
                </c:pt>
                <c:pt idx="8">
                  <c:v>7495</c:v>
                </c:pt>
                <c:pt idx="9">
                  <c:v>7990</c:v>
                </c:pt>
                <c:pt idx="10">
                  <c:v>7970</c:v>
                </c:pt>
                <c:pt idx="11">
                  <c:v>8538</c:v>
                </c:pt>
                <c:pt idx="12">
                  <c:v>9429</c:v>
                </c:pt>
                <c:pt idx="13">
                  <c:v>8829</c:v>
                </c:pt>
                <c:pt idx="14">
                  <c:v>8900</c:v>
                </c:pt>
                <c:pt idx="15">
                  <c:v>9132</c:v>
                </c:pt>
                <c:pt idx="16">
                  <c:v>9552</c:v>
                </c:pt>
                <c:pt idx="17">
                  <c:v>10246</c:v>
                </c:pt>
                <c:pt idx="18">
                  <c:v>10830</c:v>
                </c:pt>
                <c:pt idx="19">
                  <c:v>11240</c:v>
                </c:pt>
                <c:pt idx="20">
                  <c:v>10751</c:v>
                </c:pt>
                <c:pt idx="21">
                  <c:v>10570</c:v>
                </c:pt>
                <c:pt idx="22">
                  <c:v>10850</c:v>
                </c:pt>
                <c:pt idx="23">
                  <c:v>11062</c:v>
                </c:pt>
                <c:pt idx="24">
                  <c:v>12066</c:v>
                </c:pt>
                <c:pt idx="25">
                  <c:v>12183</c:v>
                </c:pt>
                <c:pt idx="26">
                  <c:v>12936</c:v>
                </c:pt>
                <c:pt idx="27">
                  <c:v>13087</c:v>
                </c:pt>
                <c:pt idx="28">
                  <c:v>13328</c:v>
                </c:pt>
                <c:pt idx="29">
                  <c:v>13544</c:v>
                </c:pt>
                <c:pt idx="30">
                  <c:v>13467</c:v>
                </c:pt>
                <c:pt idx="31">
                  <c:v>13350</c:v>
                </c:pt>
                <c:pt idx="32">
                  <c:v>13087</c:v>
                </c:pt>
                <c:pt idx="33">
                  <c:v>12576</c:v>
                </c:pt>
                <c:pt idx="34">
                  <c:v>12177</c:v>
                </c:pt>
                <c:pt idx="35">
                  <c:v>11971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28-4B19-8642-746C716D9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257128"/>
        <c:axId val="802256800"/>
      </c:lineChart>
      <c:catAx>
        <c:axId val="869981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982216"/>
        <c:crosses val="autoZero"/>
        <c:auto val="1"/>
        <c:lblAlgn val="ctr"/>
        <c:lblOffset val="100"/>
        <c:noMultiLvlLbl val="0"/>
      </c:catAx>
      <c:valAx>
        <c:axId val="8699822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Students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9818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8022568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Teachers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257128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802257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802256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09326088643467E-2"/>
          <c:y val="4.9763031318318045E-2"/>
          <c:w val="0.92207036820808153"/>
          <c:h val="0.7538168629576153"/>
        </c:manualLayout>
      </c:layout>
      <c:lineChart>
        <c:grouping val="standard"/>
        <c:varyColors val="0"/>
        <c:ser>
          <c:idx val="2"/>
          <c:order val="0"/>
          <c:tx>
            <c:strRef>
              <c:f>Interactive_Chart!$P$128</c:f>
              <c:strCache>
                <c:ptCount val="1"/>
                <c:pt idx="0">
                  <c:v>Quality
(Teachers/Class)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Interactive_Chart!$B$155:$B$164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Interactive_Chart!$P$129:$P$174</c:f>
              <c:numCache>
                <c:formatCode>#,##0.0</c:formatCode>
                <c:ptCount val="20"/>
                <c:pt idx="0">
                  <c:v>1.8061685721882479</c:v>
                </c:pt>
                <c:pt idx="1">
                  <c:v>1.8949437440694048</c:v>
                </c:pt>
                <c:pt idx="2">
                  <c:v>1.9942004971002487</c:v>
                </c:pt>
                <c:pt idx="3">
                  <c:v>1.993190661478599</c:v>
                </c:pt>
                <c:pt idx="4">
                  <c:v>2.039770340288475</c:v>
                </c:pt>
                <c:pt idx="5">
                  <c:v>2.099538009239815</c:v>
                </c:pt>
                <c:pt idx="6">
                  <c:v>2.1369458128078818</c:v>
                </c:pt>
                <c:pt idx="7">
                  <c:v>2.1673014529552832</c:v>
                </c:pt>
                <c:pt idx="8">
                  <c:v>2.1670644391408116</c:v>
                </c:pt>
                <c:pt idx="9">
                  <c:v>2.2199886749716873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4B-4206-8675-2A3DB9434CF1}"/>
            </c:ext>
          </c:extLst>
        </c:ser>
        <c:ser>
          <c:idx val="7"/>
          <c:order val="1"/>
          <c:tx>
            <c:strRef>
              <c:f>Interactive_Chart!$S$128</c:f>
              <c:strCache>
                <c:ptCount val="1"/>
                <c:pt idx="0">
                  <c:v>ACS
(Students/Class)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Interactive_Chart!$B$155:$B$164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Interactive_Chart!$S$129:$S$174</c:f>
              <c:numCache>
                <c:formatCode>#,##0</c:formatCode>
                <c:ptCount val="20"/>
                <c:pt idx="0">
                  <c:v>33.390720553044403</c:v>
                </c:pt>
                <c:pt idx="1">
                  <c:v>33.287244137183137</c:v>
                </c:pt>
                <c:pt idx="2">
                  <c:v>32.706710853355425</c:v>
                </c:pt>
                <c:pt idx="3">
                  <c:v>32.587409672040025</c:v>
                </c:pt>
                <c:pt idx="4">
                  <c:v>32.479064556784763</c:v>
                </c:pt>
                <c:pt idx="5">
                  <c:v>32.337813243735127</c:v>
                </c:pt>
                <c:pt idx="6">
                  <c:v>32.184377199155527</c:v>
                </c:pt>
                <c:pt idx="7">
                  <c:v>32.078713499788407</c:v>
                </c:pt>
                <c:pt idx="8">
                  <c:v>32.017408395339039</c:v>
                </c:pt>
                <c:pt idx="9">
                  <c:v>31.945215175537939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F0B-421A-A3FA-94B5807BF8F5}"/>
            </c:ext>
          </c:extLst>
        </c:ser>
        <c:ser>
          <c:idx val="6"/>
          <c:order val="2"/>
          <c:tx>
            <c:strRef>
              <c:f>Interactive_Chart!$S$128</c:f>
              <c:strCache>
                <c:ptCount val="1"/>
                <c:pt idx="0">
                  <c:v>ACS
(Students/Class)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Interactive_Chart!$B$155:$B$164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Interactive_Chart!$S$155:$S$174</c:f>
              <c:numCache>
                <c:formatCode>#,##0</c:formatCode>
                <c:ptCount val="20"/>
                <c:pt idx="0">
                  <c:v>33.390720553044403</c:v>
                </c:pt>
                <c:pt idx="1">
                  <c:v>33.287244137183137</c:v>
                </c:pt>
                <c:pt idx="2">
                  <c:v>32.706710853355425</c:v>
                </c:pt>
                <c:pt idx="3">
                  <c:v>32.587409672040025</c:v>
                </c:pt>
                <c:pt idx="4">
                  <c:v>32.479064556784763</c:v>
                </c:pt>
                <c:pt idx="5">
                  <c:v>32.337813243735127</c:v>
                </c:pt>
                <c:pt idx="6">
                  <c:v>32.184377199155527</c:v>
                </c:pt>
                <c:pt idx="7">
                  <c:v>32.078713499788407</c:v>
                </c:pt>
                <c:pt idx="8">
                  <c:v>32.017408395339039</c:v>
                </c:pt>
                <c:pt idx="9">
                  <c:v>31.945215175537939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F0B-421A-A3FA-94B5807BF8F5}"/>
            </c:ext>
          </c:extLst>
        </c:ser>
        <c:ser>
          <c:idx val="0"/>
          <c:order val="3"/>
          <c:tx>
            <c:strRef>
              <c:f>Interactive_Chart!$K$128</c:f>
              <c:strCache>
                <c:ptCount val="1"/>
                <c:pt idx="0">
                  <c:v># Teachers 
('000)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Interactive_Chart!$B$155:$B$164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Interactive_Chart!$K$155:$K$174</c:f>
              <c:numCache>
                <c:formatCode>#,##0.00</c:formatCode>
                <c:ptCount val="20"/>
                <c:pt idx="0">
                  <c:v>13.586</c:v>
                </c:pt>
                <c:pt idx="1">
                  <c:v>13.978999999999999</c:v>
                </c:pt>
                <c:pt idx="2">
                  <c:v>14.442</c:v>
                </c:pt>
                <c:pt idx="3">
                  <c:v>14.343</c:v>
                </c:pt>
                <c:pt idx="4">
                  <c:v>14.566000000000001</c:v>
                </c:pt>
                <c:pt idx="5">
                  <c:v>14.997</c:v>
                </c:pt>
                <c:pt idx="6">
                  <c:v>15.183</c:v>
                </c:pt>
                <c:pt idx="7">
                  <c:v>15.364000000000001</c:v>
                </c:pt>
                <c:pt idx="8">
                  <c:v>15.436</c:v>
                </c:pt>
                <c:pt idx="9">
                  <c:v>15.682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F0B-421A-A3FA-94B5807BF8F5}"/>
            </c:ext>
          </c:extLst>
        </c:ser>
        <c:ser>
          <c:idx val="9"/>
          <c:order val="4"/>
          <c:tx>
            <c:strRef>
              <c:f>Interactive_Chart!$I$128</c:f>
              <c:strCache>
                <c:ptCount val="1"/>
                <c:pt idx="0">
                  <c:v>  # Students
('0000)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Interactive_Chart!$B$155:$B$164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Interactive_Chart!$I$155:$I$174</c:f>
              <c:numCache>
                <c:formatCode>#,##0.00</c:formatCode>
                <c:ptCount val="20"/>
                <c:pt idx="0">
                  <c:v>25.116499999999998</c:v>
                </c:pt>
                <c:pt idx="1">
                  <c:v>24.556000000000001</c:v>
                </c:pt>
                <c:pt idx="2">
                  <c:v>23.686199999999999</c:v>
                </c:pt>
                <c:pt idx="3">
                  <c:v>23.4499</c:v>
                </c:pt>
                <c:pt idx="4">
                  <c:v>23.193300000000001</c:v>
                </c:pt>
                <c:pt idx="5">
                  <c:v>23.0989</c:v>
                </c:pt>
                <c:pt idx="6">
                  <c:v>22.867000000000001</c:v>
                </c:pt>
                <c:pt idx="7">
                  <c:v>22.740600000000001</c:v>
                </c:pt>
                <c:pt idx="8">
                  <c:v>22.806000000000001</c:v>
                </c:pt>
                <c:pt idx="9">
                  <c:v>22.566099999999999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F0B-421A-A3FA-94B5807BF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919128"/>
        <c:axId val="257922736"/>
      </c:lineChart>
      <c:dateAx>
        <c:axId val="25791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22736"/>
        <c:crosses val="autoZero"/>
        <c:auto val="0"/>
        <c:lblOffset val="100"/>
        <c:baseTimeUnit val="days"/>
      </c:dateAx>
      <c:valAx>
        <c:axId val="2579227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1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09326088643467E-2"/>
          <c:y val="4.9763031318318045E-2"/>
          <c:w val="0.92207036820808153"/>
          <c:h val="0.753816862957615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Interactive_Chart!$V$128</c:f>
              <c:strCache>
                <c:ptCount val="1"/>
                <c:pt idx="0">
                  <c:v>Gov. Budget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Interactive_Chart!$V$165:$V$174</c:f>
              <c:numCache>
                <c:formatCode>0.0%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B-421A-A3FA-94B5807BF8F5}"/>
            </c:ext>
          </c:extLst>
        </c:ser>
        <c:ser>
          <c:idx val="4"/>
          <c:order val="2"/>
          <c:tx>
            <c:strRef>
              <c:f>Interactive_Chart!$X$128</c:f>
              <c:strCache>
                <c:ptCount val="1"/>
                <c:pt idx="0">
                  <c:v>% Increase Spending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Interactive_Chart!$X$165:$X$174</c:f>
              <c:numCache>
                <c:formatCode>0.0%</c:formatCode>
                <c:ptCount val="10"/>
                <c:pt idx="0">
                  <c:v>2.325212532239429E-2</c:v>
                </c:pt>
                <c:pt idx="1">
                  <c:v>7.2327200507321887E-2</c:v>
                </c:pt>
                <c:pt idx="2">
                  <c:v>8.3982930947618772E-2</c:v>
                </c:pt>
                <c:pt idx="3">
                  <c:v>7.3444208007850342E-2</c:v>
                </c:pt>
                <c:pt idx="4">
                  <c:v>8.2101016136945967E-2</c:v>
                </c:pt>
                <c:pt idx="5">
                  <c:v>8.0369654511127001E-2</c:v>
                </c:pt>
                <c:pt idx="6">
                  <c:v>7.8771474548832154E-2</c:v>
                </c:pt>
                <c:pt idx="7">
                  <c:v>7.4638250508415105E-2</c:v>
                </c:pt>
                <c:pt idx="8">
                  <c:v>0.11576638108342883</c:v>
                </c:pt>
                <c:pt idx="9">
                  <c:v>0.11576638108342863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0B-421A-A3FA-94B5807BF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4447848"/>
        <c:axId val="644447520"/>
      </c:barChart>
      <c:lineChart>
        <c:grouping val="standard"/>
        <c:varyColors val="0"/>
        <c:ser>
          <c:idx val="1"/>
          <c:order val="0"/>
          <c:tx>
            <c:v>Quality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Interactive_Chart!$R$165:$R$174</c:f>
              <c:numCache>
                <c:formatCode>#,##0.0</c:formatCode>
                <c:ptCount val="10"/>
                <c:pt idx="0">
                  <c:v>2.3000000000000003</c:v>
                </c:pt>
                <c:pt idx="1">
                  <c:v>2.3000000000000003</c:v>
                </c:pt>
                <c:pt idx="2">
                  <c:v>2.4000000000000004</c:v>
                </c:pt>
                <c:pt idx="3">
                  <c:v>2.4000000000000004</c:v>
                </c:pt>
                <c:pt idx="4">
                  <c:v>2.5000000000000004</c:v>
                </c:pt>
                <c:pt idx="5">
                  <c:v>2.6000000000000005</c:v>
                </c:pt>
                <c:pt idx="6">
                  <c:v>2.7000000000000006</c:v>
                </c:pt>
                <c:pt idx="7">
                  <c:v>2.7000000000000006</c:v>
                </c:pt>
                <c:pt idx="8">
                  <c:v>2.8000000000000007</c:v>
                </c:pt>
                <c:pt idx="9">
                  <c:v>2.9000000000000008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B-421A-A3FA-94B5807BF8F5}"/>
            </c:ext>
          </c:extLst>
        </c:ser>
        <c:ser>
          <c:idx val="5"/>
          <c:order val="3"/>
          <c:tx>
            <c:v>ACS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Interactive_Chart!$U$165:$U$174</c:f>
              <c:numCache>
                <c:formatCode>#,##0</c:formatCode>
                <c:ptCount val="10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29</c:v>
                </c:pt>
                <c:pt idx="8">
                  <c:v>28</c:v>
                </c:pt>
                <c:pt idx="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0B-421A-A3FA-94B5807BF8F5}"/>
            </c:ext>
          </c:extLst>
        </c:ser>
        <c:ser>
          <c:idx val="8"/>
          <c:order val="4"/>
          <c:tx>
            <c:v>Teachers ('000)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Interactive_Chart!$M$165:$M$174</c:f>
            </c:numRef>
          </c:val>
          <c:smooth val="0"/>
          <c:extLst>
            <c:ext xmlns:c16="http://schemas.microsoft.com/office/drawing/2014/chart" uri="{C3380CC4-5D6E-409C-BE32-E72D297353CC}">
              <c16:uniqueId val="{0000001B-FF0B-421A-A3FA-94B5807BF8F5}"/>
            </c:ext>
          </c:extLst>
        </c:ser>
        <c:ser>
          <c:idx val="10"/>
          <c:order val="5"/>
          <c:tx>
            <c:v>Students ('0000)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Interactive_Chart!$J$165:$J$174</c:f>
              <c:numCache>
                <c:formatCode>#,##0.00</c:formatCode>
                <c:ptCount val="10"/>
                <c:pt idx="0">
                  <c:v>22.325759762512398</c:v>
                </c:pt>
                <c:pt idx="1">
                  <c:v>22.087979268611662</c:v>
                </c:pt>
                <c:pt idx="2">
                  <c:v>21.852731255749919</c:v>
                </c:pt>
                <c:pt idx="3">
                  <c:v>21.619988751739047</c:v>
                </c:pt>
                <c:pt idx="4">
                  <c:v>21.389725071658209</c:v>
                </c:pt>
                <c:pt idx="5">
                  <c:v>21.161913814794289</c:v>
                </c:pt>
                <c:pt idx="6">
                  <c:v>20.936528861614967</c:v>
                </c:pt>
                <c:pt idx="7">
                  <c:v>20.713544370773992</c:v>
                </c:pt>
                <c:pt idx="8">
                  <c:v>20.492934776148342</c:v>
                </c:pt>
                <c:pt idx="9">
                  <c:v>20.274674783906995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F0B-421A-A3FA-94B5807BF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919128"/>
        <c:axId val="257922736"/>
      </c:lineChart>
      <c:dateAx>
        <c:axId val="25791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22736"/>
        <c:crosses val="autoZero"/>
        <c:auto val="0"/>
        <c:lblOffset val="100"/>
        <c:baseTimeUnit val="days"/>
      </c:dateAx>
      <c:valAx>
        <c:axId val="257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19128"/>
        <c:crosses val="autoZero"/>
        <c:crossBetween val="between"/>
      </c:valAx>
      <c:valAx>
        <c:axId val="64444752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447848"/>
        <c:crosses val="max"/>
        <c:crossBetween val="between"/>
      </c:valAx>
      <c:catAx>
        <c:axId val="64444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44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11534825086669"/>
          <c:y val="0.90951299172180289"/>
          <c:w val="0.77980197499737358"/>
          <c:h val="7.4400541619932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ACS</a:t>
            </a:r>
            <a:r>
              <a:rPr lang="en-US" baseline="0"/>
              <a:t> to % Increase in Spending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Interactive_Chart!$C$180</c:f>
              <c:strCache>
                <c:ptCount val="1"/>
                <c:pt idx="0">
                  <c:v>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Interactive_Chart!$D$180:$M$180</c:f>
              <c:numCache>
                <c:formatCode>0.0</c:formatCode>
                <c:ptCount val="7"/>
                <c:pt idx="0">
                  <c:v>54.745122922101189</c:v>
                </c:pt>
                <c:pt idx="1">
                  <c:v>52.189632515290654</c:v>
                </c:pt>
                <c:pt idx="2">
                  <c:v>41.143610800471194</c:v>
                </c:pt>
                <c:pt idx="3">
                  <c:v>35.497866368452314</c:v>
                </c:pt>
                <c:pt idx="4">
                  <c:v>30.286409969665694</c:v>
                </c:pt>
                <c:pt idx="5">
                  <c:v>25.460987378196599</c:v>
                </c:pt>
                <c:pt idx="6">
                  <c:v>21.278954465590051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D-4AC0-A528-2E00DC9F72F6}"/>
            </c:ext>
          </c:extLst>
        </c:ser>
        <c:ser>
          <c:idx val="1"/>
          <c:order val="1"/>
          <c:tx>
            <c:strRef>
              <c:f>Interactive_Chart!$C$181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Interactive_Chart!$D$181:$M$181</c:f>
              <c:numCache>
                <c:formatCode>0.0</c:formatCode>
                <c:ptCount val="7"/>
                <c:pt idx="0">
                  <c:v>48.297409467013665</c:v>
                </c:pt>
                <c:pt idx="1">
                  <c:v>45.848397827153555</c:v>
                </c:pt>
                <c:pt idx="2">
                  <c:v>35.26262701711822</c:v>
                </c:pt>
                <c:pt idx="3">
                  <c:v>29.852121936433473</c:v>
                </c:pt>
                <c:pt idx="4">
                  <c:v>24.857809554262932</c:v>
                </c:pt>
                <c:pt idx="5">
                  <c:v>20.233446237438415</c:v>
                </c:pt>
                <c:pt idx="6">
                  <c:v>16.225664696190488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1D-4AC0-A528-2E00DC9F72F6}"/>
            </c:ext>
          </c:extLst>
        </c:ser>
        <c:ser>
          <c:idx val="2"/>
          <c:order val="2"/>
          <c:tx>
            <c:strRef>
              <c:f>Interactive_Chart!$C$182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Interactive_Chart!$D$182:$M$182</c:f>
              <c:numCache>
                <c:formatCode>0.0</c:formatCode>
                <c:ptCount val="7"/>
                <c:pt idx="0">
                  <c:v>42.365513088333095</c:v>
                </c:pt>
                <c:pt idx="1">
                  <c:v>40.014461914067411</c:v>
                </c:pt>
                <c:pt idx="2">
                  <c:v>29.852121936433495</c:v>
                </c:pt>
                <c:pt idx="3">
                  <c:v>24.658037058976134</c:v>
                </c:pt>
                <c:pt idx="4">
                  <c:v>19.863497172092437</c:v>
                </c:pt>
                <c:pt idx="5">
                  <c:v>15.424108387940883</c:v>
                </c:pt>
                <c:pt idx="6">
                  <c:v>11.576638108342841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1D-4AC0-A528-2E00DC9F72F6}"/>
            </c:ext>
          </c:extLst>
        </c:ser>
        <c:ser>
          <c:idx val="3"/>
          <c:order val="3"/>
          <c:tx>
            <c:strRef>
              <c:f>Interactive_Chart!$C$183</c:f>
              <c:strCache>
                <c:ptCount val="1"/>
                <c:pt idx="0">
                  <c:v>26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Interactive_Chart!$D$183:$M$183</c:f>
              <c:numCache>
                <c:formatCode>0.0</c:formatCode>
                <c:ptCount val="7"/>
                <c:pt idx="0">
                  <c:v>36.889916431089517</c:v>
                </c:pt>
                <c:pt idx="1">
                  <c:v>34.629290301987893</c:v>
                </c:pt>
                <c:pt idx="2">
                  <c:v>24.857809554262978</c:v>
                </c:pt>
                <c:pt idx="3">
                  <c:v>19.863497172092458</c:v>
                </c:pt>
                <c:pt idx="4">
                  <c:v>15.25336266547348</c:v>
                </c:pt>
                <c:pt idx="5">
                  <c:v>10.984719603789305</c:v>
                </c:pt>
                <c:pt idx="6">
                  <c:v>7.2852289503296586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1D-4AC0-A528-2E00DC9F72F6}"/>
            </c:ext>
          </c:extLst>
        </c:ser>
        <c:ser>
          <c:idx val="4"/>
          <c:order val="4"/>
          <c:tx>
            <c:strRef>
              <c:f>Interactive_Chart!$C$184</c:f>
              <c:strCache>
                <c:ptCount val="1"/>
                <c:pt idx="0">
                  <c:v>27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Interactive_Chart!$D$184:$M$184</c:f>
              <c:numCache>
                <c:formatCode>0.0</c:formatCode>
                <c:ptCount val="7"/>
                <c:pt idx="0">
                  <c:v>31.81991952623433</c:v>
                </c:pt>
                <c:pt idx="1">
                  <c:v>29.643020290803122</c:v>
                </c:pt>
                <c:pt idx="2">
                  <c:v>20.233446237438436</c:v>
                </c:pt>
                <c:pt idx="3">
                  <c:v>15.424108387940905</c:v>
                </c:pt>
                <c:pt idx="4">
                  <c:v>10.984719603789262</c:v>
                </c:pt>
                <c:pt idx="5">
                  <c:v>6.8741744332785792</c:v>
                </c:pt>
                <c:pt idx="6">
                  <c:v>3.3117019521692992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1D-4AC0-A528-2E00DC9F72F6}"/>
            </c:ext>
          </c:extLst>
        </c:ser>
        <c:ser>
          <c:idx val="5"/>
          <c:order val="5"/>
          <c:tx>
            <c:strRef>
              <c:f>Interactive_Chart!$C$185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Interactive_Chart!$D$185:$M$185</c:f>
              <c:numCache>
                <c:formatCode>0.0</c:formatCode>
                <c:ptCount val="7"/>
                <c:pt idx="0">
                  <c:v>27.112065257440278</c:v>
                </c:pt>
                <c:pt idx="1">
                  <c:v>25.012912423274479</c:v>
                </c:pt>
                <c:pt idx="2">
                  <c:v>15.93939458610134</c:v>
                </c:pt>
                <c:pt idx="3">
                  <c:v>11.301818802657282</c:v>
                </c:pt>
                <c:pt idx="4">
                  <c:v>7.0209796179396822</c:v>
                </c:pt>
                <c:pt idx="5">
                  <c:v>3.0572396320900586</c:v>
                </c:pt>
                <c:pt idx="6">
                  <c:v>-0.37800168897960118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1D-4AC0-A528-2E00DC9F72F6}"/>
            </c:ext>
          </c:extLst>
        </c:ser>
        <c:ser>
          <c:idx val="6"/>
          <c:order val="6"/>
          <c:tx>
            <c:strRef>
              <c:f>Interactive_Chart!$C$186</c:f>
              <c:strCache>
                <c:ptCount val="1"/>
                <c:pt idx="0">
                  <c:v>29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Interactive_Chart!$D$186:$M$186</c:f>
              <c:numCache>
                <c:formatCode>0.0</c:formatCode>
                <c:ptCount val="7"/>
                <c:pt idx="0">
                  <c:v>22.728890593390606</c:v>
                </c:pt>
                <c:pt idx="1">
                  <c:v>20.702122339713291</c:v>
                </c:pt>
                <c:pt idx="2">
                  <c:v>11.941484427959903</c:v>
                </c:pt>
                <c:pt idx="3">
                  <c:v>7.4638250508415327</c:v>
                </c:pt>
                <c:pt idx="4">
                  <c:v>3.3306010104245054</c:v>
                </c:pt>
                <c:pt idx="5">
                  <c:v>-0.49645828625787258</c:v>
                </c:pt>
                <c:pt idx="6">
                  <c:v>-3.8132430100492609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1D-4AC0-A528-2E00DC9F72F6}"/>
            </c:ext>
          </c:extLst>
        </c:ser>
        <c:ser>
          <c:idx val="7"/>
          <c:order val="7"/>
          <c:tx>
            <c:strRef>
              <c:f>Interactive_Chart!$C$187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Interactive_Chart!$D$187:$M$187</c:f>
              <c:numCache>
                <c:formatCode>0.0</c:formatCode>
                <c:ptCount val="7"/>
                <c:pt idx="0">
                  <c:v>18.637927573610934</c:v>
                </c:pt>
                <c:pt idx="1">
                  <c:v>16.678718261722846</c:v>
                </c:pt>
                <c:pt idx="2">
                  <c:v>8.2101016136945972</c:v>
                </c:pt>
                <c:pt idx="3">
                  <c:v>3.8816975491468009</c:v>
                </c:pt>
                <c:pt idx="4">
                  <c:v>-0.113752356589647</c:v>
                </c:pt>
                <c:pt idx="5">
                  <c:v>-3.8132430100492831</c:v>
                </c:pt>
                <c:pt idx="6">
                  <c:v>-7.0194682430476218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1D-4AC0-A528-2E00DC9F72F6}"/>
            </c:ext>
          </c:extLst>
        </c:ser>
        <c:ser>
          <c:idx val="8"/>
          <c:order val="8"/>
          <c:tx>
            <c:strRef>
              <c:f>Interactive_Chart!$C$188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Interactive_Chart!$D$188:$M$188</c:f>
              <c:numCache>
                <c:formatCode>0.0</c:formatCode>
                <c:ptCount val="7"/>
                <c:pt idx="0">
                  <c:v>14.810897651881527</c:v>
                </c:pt>
                <c:pt idx="1">
                  <c:v>12.914888640376931</c:v>
                </c:pt>
                <c:pt idx="2">
                  <c:v>4.7194531745431423</c:v>
                </c:pt>
                <c:pt idx="3">
                  <c:v>0.53067504756141304</c:v>
                </c:pt>
                <c:pt idx="4">
                  <c:v>-3.3358893773448139</c:v>
                </c:pt>
                <c:pt idx="5">
                  <c:v>-6.9160416226283328</c:v>
                </c:pt>
                <c:pt idx="6">
                  <c:v>-10.018840235207371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1D-4AC0-A528-2E00DC9F72F6}"/>
            </c:ext>
          </c:extLst>
        </c:ser>
        <c:ser>
          <c:idx val="9"/>
          <c:order val="9"/>
          <c:tx>
            <c:strRef>
              <c:f>Interactive_Chart!$C$189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Interactive_Chart!$D$179:$M$179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Interactive_Chart!$D$189:$M$189</c:f>
              <c:numCache>
                <c:formatCode>0.0</c:formatCode>
                <c:ptCount val="7"/>
                <c:pt idx="0">
                  <c:v>11.223057100260236</c:v>
                </c:pt>
                <c:pt idx="1">
                  <c:v>9.3862983703651537</c:v>
                </c:pt>
                <c:pt idx="2">
                  <c:v>1.4469702628386649</c:v>
                </c:pt>
                <c:pt idx="3">
                  <c:v>-2.6109085476748728</c:v>
                </c:pt>
                <c:pt idx="4">
                  <c:v>-6.3566428343027948</c:v>
                </c:pt>
                <c:pt idx="5">
                  <c:v>-9.8249153219211909</c:v>
                </c:pt>
                <c:pt idx="6">
                  <c:v>-12.830751477857149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D1D-4AC0-A528-2E00DC9F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163568"/>
        <c:axId val="743162256"/>
      </c:scatterChart>
      <c:valAx>
        <c:axId val="743163568"/>
        <c:scaling>
          <c:orientation val="minMax"/>
          <c:max val="2030"/>
          <c:min val="202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62256"/>
        <c:crosses val="autoZero"/>
        <c:crossBetween val="midCat"/>
      </c:valAx>
      <c:valAx>
        <c:axId val="74316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16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Quality to % Increase in Spending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Interactive_Chart!$C$193</c:f>
              <c:strCache>
                <c:ptCount val="1"/>
                <c:pt idx="0">
                  <c:v>2.2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Interactive_Chart!$D$193:$M$193</c:f>
              <c:numCache>
                <c:formatCode>0.0</c:formatCode>
                <c:ptCount val="7"/>
                <c:pt idx="0">
                  <c:v>36.17570817144906</c:v>
                </c:pt>
                <c:pt idx="1">
                  <c:v>33.926876613455789</c:v>
                </c:pt>
                <c:pt idx="2">
                  <c:v>24.206377504414679</c:v>
                </c:pt>
                <c:pt idx="3">
                  <c:v>19.238122404238055</c:v>
                </c:pt>
                <c:pt idx="4">
                  <c:v>14.652040773305842</c:v>
                </c:pt>
                <c:pt idx="5">
                  <c:v>10.405668892813026</c:v>
                </c:pt>
                <c:pt idx="6">
                  <c:v>6.7254799297192802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AC-456C-9EFD-9084DB1E5F21}"/>
            </c:ext>
          </c:extLst>
        </c:ser>
        <c:ser>
          <c:idx val="1"/>
          <c:order val="1"/>
          <c:tx>
            <c:strRef>
              <c:f>Interactive_Chart!$C$194</c:f>
              <c:strCache>
                <c:ptCount val="1"/>
                <c:pt idx="0">
                  <c:v>2.3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Interactive_Chart!$D$194:$M$194</c:f>
              <c:numCache>
                <c:formatCode>0.0</c:formatCode>
                <c:ptCount val="7"/>
                <c:pt idx="0">
                  <c:v>42.365513088333095</c:v>
                </c:pt>
                <c:pt idx="1">
                  <c:v>40.014461914067411</c:v>
                </c:pt>
                <c:pt idx="2">
                  <c:v>29.852121936433473</c:v>
                </c:pt>
                <c:pt idx="3">
                  <c:v>24.658037058976134</c:v>
                </c:pt>
                <c:pt idx="4">
                  <c:v>19.863497172092437</c:v>
                </c:pt>
                <c:pt idx="5">
                  <c:v>15.424108387940883</c:v>
                </c:pt>
                <c:pt idx="6">
                  <c:v>11.576638108342863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AC-456C-9EFD-9084DB1E5F21}"/>
            </c:ext>
          </c:extLst>
        </c:ser>
        <c:ser>
          <c:idx val="2"/>
          <c:order val="2"/>
          <c:tx>
            <c:strRef>
              <c:f>Interactive_Chart!$C$195</c:f>
              <c:strCache>
                <c:ptCount val="1"/>
                <c:pt idx="0">
                  <c:v>2.4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Interactive_Chart!$D$195:$M$195</c:f>
              <c:numCache>
                <c:formatCode>0.0</c:formatCode>
                <c:ptCount val="7"/>
                <c:pt idx="0">
                  <c:v>48.555318005217131</c:v>
                </c:pt>
                <c:pt idx="1">
                  <c:v>46.102047214679033</c:v>
                </c:pt>
                <c:pt idx="2">
                  <c:v>35.497866368452335</c:v>
                </c:pt>
                <c:pt idx="3">
                  <c:v>30.077951713714235</c:v>
                </c:pt>
                <c:pt idx="4">
                  <c:v>25.074953570879053</c:v>
                </c:pt>
                <c:pt idx="5">
                  <c:v>20.44254788306872</c:v>
                </c:pt>
                <c:pt idx="6">
                  <c:v>16.427796286966469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AC-456C-9EFD-9084DB1E5F21}"/>
            </c:ext>
          </c:extLst>
        </c:ser>
        <c:ser>
          <c:idx val="3"/>
          <c:order val="3"/>
          <c:tx>
            <c:strRef>
              <c:f>Interactive_Chart!$C$196</c:f>
              <c:strCache>
                <c:ptCount val="1"/>
                <c:pt idx="0">
                  <c:v>2.5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Interactive_Chart!$D$196:$M$196</c:f>
              <c:numCache>
                <c:formatCode>0.0</c:formatCode>
                <c:ptCount val="7"/>
                <c:pt idx="0">
                  <c:v>54.745122922101189</c:v>
                </c:pt>
                <c:pt idx="1">
                  <c:v>52.189632515290654</c:v>
                </c:pt>
                <c:pt idx="2">
                  <c:v>41.143610800471194</c:v>
                </c:pt>
                <c:pt idx="3">
                  <c:v>35.497866368452314</c:v>
                </c:pt>
                <c:pt idx="4">
                  <c:v>30.286409969665694</c:v>
                </c:pt>
                <c:pt idx="5">
                  <c:v>25.460987378196599</c:v>
                </c:pt>
                <c:pt idx="6">
                  <c:v>21.278954465590051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AC-456C-9EFD-9084DB1E5F21}"/>
            </c:ext>
          </c:extLst>
        </c:ser>
        <c:ser>
          <c:idx val="4"/>
          <c:order val="4"/>
          <c:tx>
            <c:strRef>
              <c:f>Interactive_Chart!$C$197</c:f>
              <c:strCache>
                <c:ptCount val="1"/>
                <c:pt idx="0">
                  <c:v>2.6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Interactive_Chart!$D$197:$M$197</c:f>
              <c:numCache>
                <c:formatCode>0.0</c:formatCode>
                <c:ptCount val="7"/>
                <c:pt idx="0">
                  <c:v>60.934927838985246</c:v>
                </c:pt>
                <c:pt idx="1">
                  <c:v>58.27721781590229</c:v>
                </c:pt>
                <c:pt idx="2">
                  <c:v>46.789355232490038</c:v>
                </c:pt>
                <c:pt idx="3">
                  <c:v>40.917781023190415</c:v>
                </c:pt>
                <c:pt idx="4">
                  <c:v>35.497866368452335</c:v>
                </c:pt>
                <c:pt idx="5">
                  <c:v>30.479426873324456</c:v>
                </c:pt>
                <c:pt idx="6">
                  <c:v>26.130112644213675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CAC-456C-9EFD-9084DB1E5F21}"/>
            </c:ext>
          </c:extLst>
        </c:ser>
        <c:ser>
          <c:idx val="5"/>
          <c:order val="5"/>
          <c:tx>
            <c:strRef>
              <c:f>Interactive_Chart!$C$198</c:f>
              <c:strCache>
                <c:ptCount val="1"/>
                <c:pt idx="0">
                  <c:v>2.7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Interactive_Chart!$D$198:$M$198</c:f>
              <c:numCache>
                <c:formatCode>0.0</c:formatCode>
                <c:ptCount val="7"/>
                <c:pt idx="0">
                  <c:v>67.124732755869275</c:v>
                </c:pt>
                <c:pt idx="1">
                  <c:v>64.364803116513912</c:v>
                </c:pt>
                <c:pt idx="2">
                  <c:v>52.435099664508897</c:v>
                </c:pt>
                <c:pt idx="3">
                  <c:v>46.337695677928515</c:v>
                </c:pt>
                <c:pt idx="4">
                  <c:v>40.709322767238952</c:v>
                </c:pt>
                <c:pt idx="5">
                  <c:v>35.497866368452335</c:v>
                </c:pt>
                <c:pt idx="6">
                  <c:v>30.981270822837281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CAC-456C-9EFD-9084DB1E5F21}"/>
            </c:ext>
          </c:extLst>
        </c:ser>
        <c:ser>
          <c:idx val="6"/>
          <c:order val="6"/>
          <c:tx>
            <c:strRef>
              <c:f>Interactive_Chart!$C$199</c:f>
              <c:strCache>
                <c:ptCount val="1"/>
                <c:pt idx="0">
                  <c:v>2.8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Interactive_Chart!$D$199:$M$199</c:f>
              <c:numCache>
                <c:formatCode>0.0</c:formatCode>
                <c:ptCount val="7"/>
                <c:pt idx="0">
                  <c:v>73.314537672753318</c:v>
                </c:pt>
                <c:pt idx="1">
                  <c:v>70.452388417125505</c:v>
                </c:pt>
                <c:pt idx="2">
                  <c:v>58.080844096527741</c:v>
                </c:pt>
                <c:pt idx="3">
                  <c:v>51.757610332666594</c:v>
                </c:pt>
                <c:pt idx="4">
                  <c:v>45.920779166025568</c:v>
                </c:pt>
                <c:pt idx="5">
                  <c:v>40.516305863580193</c:v>
                </c:pt>
                <c:pt idx="6">
                  <c:v>35.832429001460866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CAC-456C-9EFD-9084DB1E5F21}"/>
            </c:ext>
          </c:extLst>
        </c:ser>
        <c:ser>
          <c:idx val="7"/>
          <c:order val="7"/>
          <c:tx>
            <c:strRef>
              <c:f>Interactive_Chart!$C$200</c:f>
              <c:strCache>
                <c:ptCount val="1"/>
                <c:pt idx="0">
                  <c:v>2.9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Interactive_Chart!$D$200:$M$200</c:f>
              <c:numCache>
                <c:formatCode>0.0</c:formatCode>
                <c:ptCount val="7"/>
                <c:pt idx="0">
                  <c:v>79.504342589637389</c:v>
                </c:pt>
                <c:pt idx="1">
                  <c:v>76.539973717737126</c:v>
                </c:pt>
                <c:pt idx="2">
                  <c:v>63.726588528546579</c:v>
                </c:pt>
                <c:pt idx="3">
                  <c:v>57.177524987404695</c:v>
                </c:pt>
                <c:pt idx="4">
                  <c:v>51.132235564812191</c:v>
                </c:pt>
                <c:pt idx="5">
                  <c:v>45.534745358708051</c:v>
                </c:pt>
                <c:pt idx="6">
                  <c:v>40.683587180084487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CAC-456C-9EFD-9084DB1E5F21}"/>
            </c:ext>
          </c:extLst>
        </c:ser>
        <c:ser>
          <c:idx val="8"/>
          <c:order val="8"/>
          <c:tx>
            <c:strRef>
              <c:f>Interactive_Chart!$C$201</c:f>
              <c:strCache>
                <c:ptCount val="1"/>
                <c:pt idx="0">
                  <c:v>3.0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Interactive_Chart!$D$192:$M$192</c:f>
              <c:numCache>
                <c:formatCode>General</c:formatCode>
                <c:ptCount val="7"/>
                <c:pt idx="0">
                  <c:v>2021</c:v>
                </c:pt>
                <c:pt idx="1">
                  <c:v>2023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xVal>
          <c:yVal>
            <c:numRef>
              <c:f>Interactive_Chart!$D$201:$M$201</c:f>
              <c:numCache>
                <c:formatCode>0.0</c:formatCode>
                <c:ptCount val="7"/>
                <c:pt idx="0">
                  <c:v>85.694147506521418</c:v>
                </c:pt>
                <c:pt idx="1">
                  <c:v>82.627559018348791</c:v>
                </c:pt>
                <c:pt idx="2">
                  <c:v>69.372332960565416</c:v>
                </c:pt>
                <c:pt idx="3">
                  <c:v>62.597439642142795</c:v>
                </c:pt>
                <c:pt idx="4">
                  <c:v>56.343691963598829</c:v>
                </c:pt>
                <c:pt idx="5">
                  <c:v>50.55318485383593</c:v>
                </c:pt>
                <c:pt idx="6">
                  <c:v>45.534745358708072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CAC-456C-9EFD-9084DB1E5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80640"/>
        <c:axId val="837183264"/>
      </c:scatterChart>
      <c:valAx>
        <c:axId val="837180640"/>
        <c:scaling>
          <c:orientation val="minMax"/>
          <c:max val="2030"/>
          <c:min val="202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183264"/>
        <c:crosses val="autoZero"/>
        <c:crossBetween val="midCat"/>
      </c:valAx>
      <c:valAx>
        <c:axId val="83718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18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  <a:r>
              <a:rPr lang="en-US" baseline="0"/>
              <a:t> vs ACS (2021)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v>ACS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Interactive_Chart!$P$181:$P$189</c:f>
              <c:numCache>
                <c:formatCode>0.0</c:formatCode>
                <c:ptCount val="9"/>
                <c:pt idx="0">
                  <c:v>2.2000000000000002</c:v>
                </c:pt>
                <c:pt idx="1">
                  <c:v>2.2999999999999998</c:v>
                </c:pt>
                <c:pt idx="2">
                  <c:v>2.4</c:v>
                </c:pt>
                <c:pt idx="3">
                  <c:v>2.5</c:v>
                </c:pt>
                <c:pt idx="4">
                  <c:v>2.6</c:v>
                </c:pt>
                <c:pt idx="5">
                  <c:v>2.7</c:v>
                </c:pt>
                <c:pt idx="6">
                  <c:v>2.8</c:v>
                </c:pt>
                <c:pt idx="7">
                  <c:v>2.9</c:v>
                </c:pt>
                <c:pt idx="8">
                  <c:v>3</c:v>
                </c:pt>
              </c:numCache>
            </c:numRef>
          </c:cat>
          <c:val>
            <c:numRef>
              <c:f>Interactive_Chart!$Q$181:$Q$189</c:f>
              <c:numCache>
                <c:formatCode>0</c:formatCode>
                <c:ptCount val="9"/>
                <c:pt idx="0">
                  <c:v>28.473102470337569</c:v>
                </c:pt>
                <c:pt idx="1">
                  <c:v>29.767334517361284</c:v>
                </c:pt>
                <c:pt idx="2">
                  <c:v>31.061566521353988</c:v>
                </c:pt>
                <c:pt idx="3">
                  <c:v>32.355798459960425</c:v>
                </c:pt>
                <c:pt idx="4">
                  <c:v>33.650030396898721</c:v>
                </c:pt>
                <c:pt idx="5">
                  <c:v>34.944262332874686</c:v>
                </c:pt>
                <c:pt idx="6">
                  <c:v>36.23849426833096</c:v>
                </c:pt>
                <c:pt idx="7">
                  <c:v>37.532726203544108</c:v>
                </c:pt>
                <c:pt idx="8">
                  <c:v>38.826958138684283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2-44BC-9EB4-A250C75C6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449432"/>
        <c:axId val="779450088"/>
      </c:lineChart>
      <c:catAx>
        <c:axId val="779449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50088"/>
        <c:crosses val="autoZero"/>
        <c:auto val="1"/>
        <c:lblAlgn val="ctr"/>
        <c:lblOffset val="100"/>
        <c:noMultiLvlLbl val="0"/>
      </c:catAx>
      <c:valAx>
        <c:axId val="779450088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49432"/>
        <c:crosses val="autoZero"/>
        <c:crossBetween val="between"/>
        <c:majorUnit val="20"/>
        <c:min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09326088643467E-2"/>
          <c:y val="4.9763031318318045E-2"/>
          <c:w val="0.92207036820808153"/>
          <c:h val="0.753816862957615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'Different Growth Rate'!$V$59</c:f>
              <c:strCache>
                <c:ptCount val="1"/>
                <c:pt idx="0">
                  <c:v>Gov. Budget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Rate'!$V$96:$V$105</c:f>
              <c:numCache>
                <c:formatCode>0.0%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A-4081-AEC8-2683F37F994F}"/>
            </c:ext>
          </c:extLst>
        </c:ser>
        <c:ser>
          <c:idx val="4"/>
          <c:order val="2"/>
          <c:tx>
            <c:strRef>
              <c:f>'Different Growth Rate'!$X$59</c:f>
              <c:strCache>
                <c:ptCount val="1"/>
                <c:pt idx="0">
                  <c:v>% Increase Spending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Rate'!$X$96:$X$105</c:f>
              <c:numCache>
                <c:formatCode>0.0%</c:formatCode>
                <c:ptCount val="10"/>
                <c:pt idx="0">
                  <c:v>2.325212532239429E-2</c:v>
                </c:pt>
                <c:pt idx="1">
                  <c:v>7.2327200507321887E-2</c:v>
                </c:pt>
                <c:pt idx="2">
                  <c:v>8.3982930947618772E-2</c:v>
                </c:pt>
                <c:pt idx="3">
                  <c:v>7.3444208007850342E-2</c:v>
                </c:pt>
                <c:pt idx="4">
                  <c:v>8.2101016136945967E-2</c:v>
                </c:pt>
                <c:pt idx="5">
                  <c:v>8.0369654511127001E-2</c:v>
                </c:pt>
                <c:pt idx="6">
                  <c:v>7.8771474548832154E-2</c:v>
                </c:pt>
                <c:pt idx="7">
                  <c:v>7.4638250508415105E-2</c:v>
                </c:pt>
                <c:pt idx="8">
                  <c:v>0.11576638108342883</c:v>
                </c:pt>
                <c:pt idx="9">
                  <c:v>0.11576638108342863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A-4081-AEC8-2683F37F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4447848"/>
        <c:axId val="644447520"/>
      </c:barChart>
      <c:lineChart>
        <c:grouping val="standard"/>
        <c:varyColors val="0"/>
        <c:ser>
          <c:idx val="1"/>
          <c:order val="0"/>
          <c:tx>
            <c:v>Quality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Rate'!$R$96:$R$105</c:f>
              <c:numCache>
                <c:formatCode>#,##0.0</c:formatCode>
                <c:ptCount val="10"/>
                <c:pt idx="0">
                  <c:v>2.3000000000000003</c:v>
                </c:pt>
                <c:pt idx="1">
                  <c:v>2.3000000000000003</c:v>
                </c:pt>
                <c:pt idx="2">
                  <c:v>2.4000000000000004</c:v>
                </c:pt>
                <c:pt idx="3">
                  <c:v>2.4000000000000004</c:v>
                </c:pt>
                <c:pt idx="4">
                  <c:v>2.5000000000000004</c:v>
                </c:pt>
                <c:pt idx="5">
                  <c:v>2.6000000000000005</c:v>
                </c:pt>
                <c:pt idx="6">
                  <c:v>2.7000000000000006</c:v>
                </c:pt>
                <c:pt idx="7">
                  <c:v>2.7000000000000006</c:v>
                </c:pt>
                <c:pt idx="8">
                  <c:v>2.8000000000000007</c:v>
                </c:pt>
                <c:pt idx="9">
                  <c:v>2.9000000000000008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A-4081-AEC8-2683F37F994F}"/>
            </c:ext>
          </c:extLst>
        </c:ser>
        <c:ser>
          <c:idx val="5"/>
          <c:order val="3"/>
          <c:tx>
            <c:v>ACS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Rate'!$U$96:$U$105</c:f>
              <c:numCache>
                <c:formatCode>#,##0</c:formatCode>
                <c:ptCount val="10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29</c:v>
                </c:pt>
                <c:pt idx="8">
                  <c:v>28</c:v>
                </c:pt>
                <c:pt idx="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FA-4081-AEC8-2683F37F994F}"/>
            </c:ext>
          </c:extLst>
        </c:ser>
        <c:ser>
          <c:idx val="8"/>
          <c:order val="4"/>
          <c:tx>
            <c:v>Teachers ('000)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Interactive_Chart!$M$165:$M$174</c:f>
            </c:numRef>
          </c:val>
          <c:smooth val="0"/>
          <c:extLst>
            <c:ext xmlns:c16="http://schemas.microsoft.com/office/drawing/2014/chart" uri="{C3380CC4-5D6E-409C-BE32-E72D297353CC}">
              <c16:uniqueId val="{00000004-F1FA-4081-AEC8-2683F37F994F}"/>
            </c:ext>
          </c:extLst>
        </c:ser>
        <c:ser>
          <c:idx val="10"/>
          <c:order val="5"/>
          <c:tx>
            <c:v>Students ('0000)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Rate'!$J$96:$J$105</c:f>
              <c:numCache>
                <c:formatCode>#,##0.00</c:formatCode>
                <c:ptCount val="10"/>
                <c:pt idx="0">
                  <c:v>22.325759762512398</c:v>
                </c:pt>
                <c:pt idx="1">
                  <c:v>22.087979268611662</c:v>
                </c:pt>
                <c:pt idx="2">
                  <c:v>21.852731255749919</c:v>
                </c:pt>
                <c:pt idx="3">
                  <c:v>21.619988751739047</c:v>
                </c:pt>
                <c:pt idx="4">
                  <c:v>21.389725071658209</c:v>
                </c:pt>
                <c:pt idx="5">
                  <c:v>21.161913814794289</c:v>
                </c:pt>
                <c:pt idx="6">
                  <c:v>20.936528861614967</c:v>
                </c:pt>
                <c:pt idx="7">
                  <c:v>20.713544370773992</c:v>
                </c:pt>
                <c:pt idx="8">
                  <c:v>20.492934776148342</c:v>
                </c:pt>
                <c:pt idx="9">
                  <c:v>20.274674783906995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FA-4081-AEC8-2683F37F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919128"/>
        <c:axId val="257922736"/>
      </c:lineChart>
      <c:dateAx>
        <c:axId val="25791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22736"/>
        <c:crosses val="autoZero"/>
        <c:auto val="0"/>
        <c:lblOffset val="100"/>
        <c:baseTimeUnit val="days"/>
      </c:dateAx>
      <c:valAx>
        <c:axId val="257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19128"/>
        <c:crosses val="autoZero"/>
        <c:crossBetween val="between"/>
      </c:valAx>
      <c:valAx>
        <c:axId val="64444752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447848"/>
        <c:crosses val="max"/>
        <c:crossBetween val="between"/>
      </c:valAx>
      <c:catAx>
        <c:axId val="64444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44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11534825086669"/>
          <c:y val="0.90951299172180289"/>
          <c:w val="0.77980197499737358"/>
          <c:h val="7.4400541619932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209326088643467E-2"/>
          <c:y val="4.9763031318318045E-2"/>
          <c:w val="0.92207036820808153"/>
          <c:h val="0.7538168629576153"/>
        </c:manualLayout>
      </c:layout>
      <c:barChart>
        <c:barDir val="col"/>
        <c:grouping val="clustered"/>
        <c:varyColors val="0"/>
        <c:ser>
          <c:idx val="3"/>
          <c:order val="1"/>
          <c:tx>
            <c:strRef>
              <c:f>'Different Growth Rate'!$V$59</c:f>
              <c:strCache>
                <c:ptCount val="1"/>
                <c:pt idx="0">
                  <c:v>Gov. Budget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Rate'!$V$96:$V$105</c:f>
              <c:numCache>
                <c:formatCode>0.0%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A-4081-AEC8-2683F37F994F}"/>
            </c:ext>
          </c:extLst>
        </c:ser>
        <c:ser>
          <c:idx val="4"/>
          <c:order val="2"/>
          <c:tx>
            <c:strRef>
              <c:f>'Different Growth Rate'!$X$59</c:f>
              <c:strCache>
                <c:ptCount val="1"/>
                <c:pt idx="0">
                  <c:v>% Increase Spending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Rate'!$X$144:$X$153</c:f>
              <c:numCache>
                <c:formatCode>0.0%</c:formatCode>
                <c:ptCount val="10"/>
                <c:pt idx="0">
                  <c:v>5.4952943661523035E-2</c:v>
                </c:pt>
                <c:pt idx="1">
                  <c:v>0.10554838709677415</c:v>
                </c:pt>
                <c:pt idx="2">
                  <c:v>0.11756521739130443</c:v>
                </c:pt>
                <c:pt idx="3">
                  <c:v>0.10670000000000002</c:v>
                </c:pt>
                <c:pt idx="4">
                  <c:v>0.11562500000000032</c:v>
                </c:pt>
                <c:pt idx="5">
                  <c:v>0.11384000000000016</c:v>
                </c:pt>
                <c:pt idx="6">
                  <c:v>0.11219230769230748</c:v>
                </c:pt>
                <c:pt idx="7">
                  <c:v>0.10793103448275909</c:v>
                </c:pt>
                <c:pt idx="8">
                  <c:v>0.15033333333333365</c:v>
                </c:pt>
                <c:pt idx="9">
                  <c:v>0.15033333333333365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A-4081-AEC8-2683F37F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4447848"/>
        <c:axId val="644447520"/>
      </c:barChart>
      <c:lineChart>
        <c:grouping val="standard"/>
        <c:varyColors val="0"/>
        <c:ser>
          <c:idx val="1"/>
          <c:order val="0"/>
          <c:tx>
            <c:v>Quality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Rate'!$R$144:$R$153</c:f>
              <c:numCache>
                <c:formatCode>#,##0.0</c:formatCode>
                <c:ptCount val="10"/>
                <c:pt idx="0">
                  <c:v>2.3000000000000003</c:v>
                </c:pt>
                <c:pt idx="1">
                  <c:v>2.3000000000000003</c:v>
                </c:pt>
                <c:pt idx="2">
                  <c:v>2.4000000000000004</c:v>
                </c:pt>
                <c:pt idx="3">
                  <c:v>2.4000000000000004</c:v>
                </c:pt>
                <c:pt idx="4">
                  <c:v>2.5000000000000004</c:v>
                </c:pt>
                <c:pt idx="5">
                  <c:v>2.6000000000000005</c:v>
                </c:pt>
                <c:pt idx="6">
                  <c:v>2.7000000000000006</c:v>
                </c:pt>
                <c:pt idx="7">
                  <c:v>2.7000000000000006</c:v>
                </c:pt>
                <c:pt idx="8">
                  <c:v>2.8000000000000007</c:v>
                </c:pt>
                <c:pt idx="9">
                  <c:v>2.9000000000000008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A-4081-AEC8-2683F37F994F}"/>
            </c:ext>
          </c:extLst>
        </c:ser>
        <c:ser>
          <c:idx val="5"/>
          <c:order val="3"/>
          <c:tx>
            <c:v>ACS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Rate'!$U$144:$U$153</c:f>
              <c:numCache>
                <c:formatCode>#,##0</c:formatCode>
                <c:ptCount val="10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29</c:v>
                </c:pt>
                <c:pt idx="8">
                  <c:v>28</c:v>
                </c:pt>
                <c:pt idx="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FA-4081-AEC8-2683F37F994F}"/>
            </c:ext>
          </c:extLst>
        </c:ser>
        <c:ser>
          <c:idx val="8"/>
          <c:order val="4"/>
          <c:tx>
            <c:v>Teachers ('000)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Interactive_Chart!$B$165:$B$174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Interactive_Chart!$M$165:$M$174</c:f>
            </c:numRef>
          </c:val>
          <c:smooth val="0"/>
          <c:extLst>
            <c:ext xmlns:c16="http://schemas.microsoft.com/office/drawing/2014/chart" uri="{C3380CC4-5D6E-409C-BE32-E72D297353CC}">
              <c16:uniqueId val="{00000004-F1FA-4081-AEC8-2683F37F994F}"/>
            </c:ext>
          </c:extLst>
        </c:ser>
        <c:ser>
          <c:idx val="10"/>
          <c:order val="5"/>
          <c:tx>
            <c:strRef>
              <c:f>'Different Growth Rate'!$J$107</c:f>
              <c:strCache>
                <c:ptCount val="1"/>
                <c:pt idx="0">
                  <c:v>Pred S 
('0000)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'Different Growth Rate'!$B$96:$B$105</c:f>
              <c:numCache>
                <c:formatCode>General</c:formatCode>
                <c:ptCount val="1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</c:numCache>
            </c:numRef>
          </c:cat>
          <c:val>
            <c:numRef>
              <c:f>'Different Growth Rate'!$J$96:$J$105</c:f>
              <c:numCache>
                <c:formatCode>#,##0.00</c:formatCode>
                <c:ptCount val="10"/>
                <c:pt idx="0">
                  <c:v>22.325759762512398</c:v>
                </c:pt>
                <c:pt idx="1">
                  <c:v>22.087979268611662</c:v>
                </c:pt>
                <c:pt idx="2">
                  <c:v>21.852731255749919</c:v>
                </c:pt>
                <c:pt idx="3">
                  <c:v>21.619988751739047</c:v>
                </c:pt>
                <c:pt idx="4">
                  <c:v>21.389725071658209</c:v>
                </c:pt>
                <c:pt idx="5">
                  <c:v>21.161913814794289</c:v>
                </c:pt>
                <c:pt idx="6">
                  <c:v>20.936528861614967</c:v>
                </c:pt>
                <c:pt idx="7">
                  <c:v>20.713544370773992</c:v>
                </c:pt>
                <c:pt idx="8">
                  <c:v>20.492934776148342</c:v>
                </c:pt>
                <c:pt idx="9">
                  <c:v>20.274674783906995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FA-4081-AEC8-2683F37F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919128"/>
        <c:axId val="257922736"/>
      </c:lineChart>
      <c:dateAx>
        <c:axId val="25791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22736"/>
        <c:crosses val="autoZero"/>
        <c:auto val="0"/>
        <c:lblOffset val="100"/>
        <c:baseTimeUnit val="days"/>
      </c:dateAx>
      <c:valAx>
        <c:axId val="257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19128"/>
        <c:crosses val="autoZero"/>
        <c:crossBetween val="between"/>
      </c:valAx>
      <c:valAx>
        <c:axId val="64444752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447848"/>
        <c:crosses val="max"/>
        <c:crossBetween val="between"/>
      </c:valAx>
      <c:catAx>
        <c:axId val="64444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44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11534825086669"/>
          <c:y val="0.90951299172180289"/>
          <c:w val="0.77980197499737358"/>
          <c:h val="7.4400541619932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D$4" max="50" page="10" val="32"/>
</file>

<file path=xl/ctrlProps/ctrlProp2.xml><?xml version="1.0" encoding="utf-8"?>
<formControlPr xmlns="http://schemas.microsoft.com/office/spreadsheetml/2009/9/main" objectType="Spin" dx="31" fmlaLink="$D$5" max="50" page="10" val="31"/>
</file>

<file path=xl/ctrlProps/ctrlProp3.xml><?xml version="1.0" encoding="utf-8"?>
<formControlPr xmlns="http://schemas.microsoft.com/office/spreadsheetml/2009/9/main" objectType="Spin" dx="31" fmlaLink="$D$6" max="50" page="10" val="31"/>
</file>

<file path=xl/ctrlProps/ctrlProp4.xml><?xml version="1.0" encoding="utf-8"?>
<formControlPr xmlns="http://schemas.microsoft.com/office/spreadsheetml/2009/9/main" objectType="Spin" dx="31" fmlaLink="$D$7" max="50" page="10" val="30"/>
</file>

<file path=xl/ctrlProps/ctrlProp5.xml><?xml version="1.0" encoding="utf-8"?>
<formControlPr xmlns="http://schemas.microsoft.com/office/spreadsheetml/2009/9/main" objectType="Spin" dx="31" fmlaLink="$D$8" max="50" page="10" val="30"/>
</file>

<file path=xl/ctrlProps/ctrlProp6.xml><?xml version="1.0" encoding="utf-8"?>
<formControlPr xmlns="http://schemas.microsoft.com/office/spreadsheetml/2009/9/main" objectType="Spin" dx="31" fmlaLink="$D$9" max="50" page="10" val="30"/>
</file>

<file path=xl/ctrlProps/ctrlProp7.xml><?xml version="1.0" encoding="utf-8"?>
<formControlPr xmlns="http://schemas.microsoft.com/office/spreadsheetml/2009/9/main" objectType="Spin" dx="31" fmlaLink="$D$10" max="50" page="10" val="30"/>
</file>

<file path=xl/ctrlProps/ctrlProp8.xml><?xml version="1.0" encoding="utf-8"?>
<formControlPr xmlns="http://schemas.microsoft.com/office/spreadsheetml/2009/9/main" objectType="Spin" dx="31" fmlaLink="$D$11" max="50" page="10" val="29"/>
</file>

<file path=xl/ctrlProps/ctrlProp9.xml><?xml version="1.0" encoding="utf-8"?>
<formControlPr xmlns="http://schemas.microsoft.com/office/spreadsheetml/2009/9/main" objectType="Spin" dx="31" fmlaLink="$D$13" max="50" page="10" val="27"/>
</file>

<file path=xl/ctrlProps/ctrlProp10.xml><?xml version="1.0" encoding="utf-8"?>
<formControlPr xmlns="http://schemas.microsoft.com/office/spreadsheetml/2009/9/main" objectType="Spin" dx="31" fmlaLink="$E$5" max="50" page="10" val="10"/>
</file>

<file path=xl/ctrlProps/ctrlProp11.xml><?xml version="1.0" encoding="utf-8"?>
<formControlPr xmlns="http://schemas.microsoft.com/office/spreadsheetml/2009/9/main" objectType="Spin" dx="31" fmlaLink="$E$6" max="50" page="10" val="10"/>
</file>

<file path=xl/ctrlProps/ctrlProp12.xml><?xml version="1.0" encoding="utf-8"?>
<formControlPr xmlns="http://schemas.microsoft.com/office/spreadsheetml/2009/9/main" objectType="Spin" dx="31" fmlaLink="$E$7" max="50" page="10" val="10"/>
</file>

<file path=xl/ctrlProps/ctrlProp13.xml><?xml version="1.0" encoding="utf-8"?>
<formControlPr xmlns="http://schemas.microsoft.com/office/spreadsheetml/2009/9/main" objectType="Spin" dx="31" fmlaLink="$E$8" max="50" page="10" val="10"/>
</file>

<file path=xl/ctrlProps/ctrlProp14.xml><?xml version="1.0" encoding="utf-8"?>
<formControlPr xmlns="http://schemas.microsoft.com/office/spreadsheetml/2009/9/main" objectType="Spin" dx="31" fmlaLink="$E$9" max="50" page="10" val="10"/>
</file>

<file path=xl/ctrlProps/ctrlProp15.xml><?xml version="1.0" encoding="utf-8"?>
<formControlPr xmlns="http://schemas.microsoft.com/office/spreadsheetml/2009/9/main" objectType="Spin" dx="31" fmlaLink="$E$10" max="50" page="10" val="10"/>
</file>

<file path=xl/ctrlProps/ctrlProp16.xml><?xml version="1.0" encoding="utf-8"?>
<formControlPr xmlns="http://schemas.microsoft.com/office/spreadsheetml/2009/9/main" objectType="Spin" dx="31" fmlaLink="$E$11" max="50" page="10" val="10"/>
</file>

<file path=xl/ctrlProps/ctrlProp17.xml><?xml version="1.0" encoding="utf-8"?>
<formControlPr xmlns="http://schemas.microsoft.com/office/spreadsheetml/2009/9/main" objectType="Spin" dx="31" fmlaLink="$E$12" max="50" page="10" val="10"/>
</file>

<file path=xl/ctrlProps/ctrlProp18.xml><?xml version="1.0" encoding="utf-8"?>
<formControlPr xmlns="http://schemas.microsoft.com/office/spreadsheetml/2009/9/main" objectType="Spin" dx="31" fmlaLink="$E$13" max="50" page="10" val="10"/>
</file>

<file path=xl/ctrlProps/ctrlProp19.xml><?xml version="1.0" encoding="utf-8"?>
<formControlPr xmlns="http://schemas.microsoft.com/office/spreadsheetml/2009/9/main" objectType="Spin" dx="31" fmlaLink="$D$12" max="50" page="10" val="28"/>
</file>

<file path=xl/ctrlProps/ctrlProp20.xml><?xml version="1.0" encoding="utf-8"?>
<formControlPr xmlns="http://schemas.microsoft.com/office/spreadsheetml/2009/9/main" objectType="Spin" dx="31" fmlaLink="$D$20" max="50" page="10" val="32"/>
</file>

<file path=xl/ctrlProps/ctrlProp21.xml><?xml version="1.0" encoding="utf-8"?>
<formControlPr xmlns="http://schemas.microsoft.com/office/spreadsheetml/2009/9/main" objectType="Spin" dx="31" fmlaLink="$D$21" max="50" page="10" val="31"/>
</file>

<file path=xl/ctrlProps/ctrlProp22.xml><?xml version="1.0" encoding="utf-8"?>
<formControlPr xmlns="http://schemas.microsoft.com/office/spreadsheetml/2009/9/main" objectType="Spin" dx="31" fmlaLink="$D$22" max="50" page="10" val="31"/>
</file>

<file path=xl/ctrlProps/ctrlProp23.xml><?xml version="1.0" encoding="utf-8"?>
<formControlPr xmlns="http://schemas.microsoft.com/office/spreadsheetml/2009/9/main" objectType="Spin" dx="31" fmlaLink="$D$23" max="50" page="10" val="30"/>
</file>

<file path=xl/ctrlProps/ctrlProp24.xml><?xml version="1.0" encoding="utf-8"?>
<formControlPr xmlns="http://schemas.microsoft.com/office/spreadsheetml/2009/9/main" objectType="Spin" dx="31" fmlaLink="$D$24" max="50" page="10" val="30"/>
</file>

<file path=xl/ctrlProps/ctrlProp25.xml><?xml version="1.0" encoding="utf-8"?>
<formControlPr xmlns="http://schemas.microsoft.com/office/spreadsheetml/2009/9/main" objectType="Spin" dx="31" fmlaLink="$D$25" max="50" page="10" val="30"/>
</file>

<file path=xl/ctrlProps/ctrlProp26.xml><?xml version="1.0" encoding="utf-8"?>
<formControlPr xmlns="http://schemas.microsoft.com/office/spreadsheetml/2009/9/main" objectType="Spin" dx="31" fmlaLink="$D$26" max="50" page="10" val="30"/>
</file>

<file path=xl/ctrlProps/ctrlProp27.xml><?xml version="1.0" encoding="utf-8"?>
<formControlPr xmlns="http://schemas.microsoft.com/office/spreadsheetml/2009/9/main" objectType="Spin" dx="31" fmlaLink="$D$27" max="50" page="10" val="29"/>
</file>

<file path=xl/ctrlProps/ctrlProp28.xml><?xml version="1.0" encoding="utf-8"?>
<formControlPr xmlns="http://schemas.microsoft.com/office/spreadsheetml/2009/9/main" objectType="Spin" dx="31" fmlaLink="$D$29" max="50" page="10" val="27"/>
</file>

<file path=xl/ctrlProps/ctrlProp29.xml><?xml version="1.0" encoding="utf-8"?>
<formControlPr xmlns="http://schemas.microsoft.com/office/spreadsheetml/2009/9/main" objectType="Spin" dx="31" fmlaLink="$E$21" max="50" page="10" val="10"/>
</file>

<file path=xl/ctrlProps/ctrlProp30.xml><?xml version="1.0" encoding="utf-8"?>
<formControlPr xmlns="http://schemas.microsoft.com/office/spreadsheetml/2009/9/main" objectType="Spin" dx="31" fmlaLink="$E$22" max="50" page="10" val="10"/>
</file>

<file path=xl/ctrlProps/ctrlProp31.xml><?xml version="1.0" encoding="utf-8"?>
<formControlPr xmlns="http://schemas.microsoft.com/office/spreadsheetml/2009/9/main" objectType="Spin" dx="31" fmlaLink="$E$23" max="50" page="10" val="10"/>
</file>

<file path=xl/ctrlProps/ctrlProp32.xml><?xml version="1.0" encoding="utf-8"?>
<formControlPr xmlns="http://schemas.microsoft.com/office/spreadsheetml/2009/9/main" objectType="Spin" dx="31" fmlaLink="$E$24" max="50" page="10" val="10"/>
</file>

<file path=xl/ctrlProps/ctrlProp33.xml><?xml version="1.0" encoding="utf-8"?>
<formControlPr xmlns="http://schemas.microsoft.com/office/spreadsheetml/2009/9/main" objectType="Spin" dx="31" fmlaLink="$E$25" max="50" page="10" val="10"/>
</file>

<file path=xl/ctrlProps/ctrlProp34.xml><?xml version="1.0" encoding="utf-8"?>
<formControlPr xmlns="http://schemas.microsoft.com/office/spreadsheetml/2009/9/main" objectType="Spin" dx="31" fmlaLink="$E$26" max="50" page="10" val="10"/>
</file>

<file path=xl/ctrlProps/ctrlProp35.xml><?xml version="1.0" encoding="utf-8"?>
<formControlPr xmlns="http://schemas.microsoft.com/office/spreadsheetml/2009/9/main" objectType="Spin" dx="31" fmlaLink="$E$27" max="50" page="10" val="10"/>
</file>

<file path=xl/ctrlProps/ctrlProp36.xml><?xml version="1.0" encoding="utf-8"?>
<formControlPr xmlns="http://schemas.microsoft.com/office/spreadsheetml/2009/9/main" objectType="Spin" dx="31" fmlaLink="$E$28" max="50" page="10" val="10"/>
</file>

<file path=xl/ctrlProps/ctrlProp37.xml><?xml version="1.0" encoding="utf-8"?>
<formControlPr xmlns="http://schemas.microsoft.com/office/spreadsheetml/2009/9/main" objectType="Spin" dx="31" fmlaLink="$E$29" max="50" page="10" val="10"/>
</file>

<file path=xl/ctrlProps/ctrlProp38.xml><?xml version="1.0" encoding="utf-8"?>
<formControlPr xmlns="http://schemas.microsoft.com/office/spreadsheetml/2009/9/main" objectType="Spin" dx="31" fmlaLink="$D$28" max="50" page="10" val="28"/>
</file>

<file path=xl/ctrlProps/ctrlProp39.xml><?xml version="1.0" encoding="utf-8"?>
<formControlPr xmlns="http://schemas.microsoft.com/office/spreadsheetml/2009/9/main" objectType="Spin" dx="31" fmlaLink="$Q$20" max="50" page="10" val="32"/>
</file>

<file path=xl/ctrlProps/ctrlProp40.xml><?xml version="1.0" encoding="utf-8"?>
<formControlPr xmlns="http://schemas.microsoft.com/office/spreadsheetml/2009/9/main" objectType="Spin" dx="31" fmlaLink="$Q$21" max="50" page="10" val="31"/>
</file>

<file path=xl/ctrlProps/ctrlProp41.xml><?xml version="1.0" encoding="utf-8"?>
<formControlPr xmlns="http://schemas.microsoft.com/office/spreadsheetml/2009/9/main" objectType="Spin" dx="31" fmlaLink="$Q$22" max="50" page="10" val="31"/>
</file>

<file path=xl/ctrlProps/ctrlProp42.xml><?xml version="1.0" encoding="utf-8"?>
<formControlPr xmlns="http://schemas.microsoft.com/office/spreadsheetml/2009/9/main" objectType="Spin" dx="31" fmlaLink="$Q$23" max="50" page="10" val="30"/>
</file>

<file path=xl/ctrlProps/ctrlProp43.xml><?xml version="1.0" encoding="utf-8"?>
<formControlPr xmlns="http://schemas.microsoft.com/office/spreadsheetml/2009/9/main" objectType="Spin" dx="31" fmlaLink="$Q$24" max="50" page="10" val="30"/>
</file>

<file path=xl/ctrlProps/ctrlProp44.xml><?xml version="1.0" encoding="utf-8"?>
<formControlPr xmlns="http://schemas.microsoft.com/office/spreadsheetml/2009/9/main" objectType="Spin" dx="31" fmlaLink="$Q$25" max="50" page="10" val="30"/>
</file>

<file path=xl/ctrlProps/ctrlProp45.xml><?xml version="1.0" encoding="utf-8"?>
<formControlPr xmlns="http://schemas.microsoft.com/office/spreadsheetml/2009/9/main" objectType="Spin" dx="31" fmlaLink="$Q$26" max="50" page="10" val="30"/>
</file>

<file path=xl/ctrlProps/ctrlProp46.xml><?xml version="1.0" encoding="utf-8"?>
<formControlPr xmlns="http://schemas.microsoft.com/office/spreadsheetml/2009/9/main" objectType="Spin" dx="31" fmlaLink="$Q$27" max="50" page="10" val="29"/>
</file>

<file path=xl/ctrlProps/ctrlProp47.xml><?xml version="1.0" encoding="utf-8"?>
<formControlPr xmlns="http://schemas.microsoft.com/office/spreadsheetml/2009/9/main" objectType="Spin" dx="31" fmlaLink="$Q$29" max="50" page="10" val="27"/>
</file>

<file path=xl/ctrlProps/ctrlProp48.xml><?xml version="1.0" encoding="utf-8"?>
<formControlPr xmlns="http://schemas.microsoft.com/office/spreadsheetml/2009/9/main" objectType="Spin" dx="31" fmlaLink="$Q$28" max="50" page="10" val="2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208882</xdr:colOff>
      <xdr:row>14</xdr:row>
      <xdr:rowOff>225593</xdr:rowOff>
    </xdr:from>
    <xdr:to>
      <xdr:col>25</xdr:col>
      <xdr:colOff>388938</xdr:colOff>
      <xdr:row>28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14</xdr:row>
      <xdr:rowOff>208883</xdr:rowOff>
    </xdr:from>
    <xdr:to>
      <xdr:col>39</xdr:col>
      <xdr:colOff>100263</xdr:colOff>
      <xdr:row>28</xdr:row>
      <xdr:rowOff>158750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127000</xdr:rowOff>
    </xdr:from>
    <xdr:to>
      <xdr:col>12</xdr:col>
      <xdr:colOff>0</xdr:colOff>
      <xdr:row>13</xdr:row>
      <xdr:rowOff>119061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26827</xdr:colOff>
      <xdr:row>15</xdr:row>
      <xdr:rowOff>45582</xdr:rowOff>
    </xdr:from>
    <xdr:to>
      <xdr:col>13</xdr:col>
      <xdr:colOff>736645</xdr:colOff>
      <xdr:row>40</xdr:row>
      <xdr:rowOff>164301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3</xdr:row>
          <xdr:rowOff>0</xdr:rowOff>
        </xdr:from>
        <xdr:to>
          <xdr:col>3</xdr:col>
          <xdr:colOff>438150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4</xdr:row>
          <xdr:rowOff>0</xdr:rowOff>
        </xdr:from>
        <xdr:to>
          <xdr:col>3</xdr:col>
          <xdr:colOff>438150</xdr:colOff>
          <xdr:row>5</xdr:row>
          <xdr:rowOff>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5</xdr:row>
          <xdr:rowOff>0</xdr:rowOff>
        </xdr:from>
        <xdr:to>
          <xdr:col>3</xdr:col>
          <xdr:colOff>438150</xdr:colOff>
          <xdr:row>6</xdr:row>
          <xdr:rowOff>0</xdr:rowOff>
        </xdr:to>
        <xdr:sp macro="" textlink="">
          <xdr:nvSpPr>
            <xdr:cNvPr id="4100" name="Spinne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6</xdr:row>
          <xdr:rowOff>0</xdr:rowOff>
        </xdr:from>
        <xdr:to>
          <xdr:col>3</xdr:col>
          <xdr:colOff>438150</xdr:colOff>
          <xdr:row>7</xdr:row>
          <xdr:rowOff>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7</xdr:row>
          <xdr:rowOff>0</xdr:rowOff>
        </xdr:from>
        <xdr:to>
          <xdr:col>3</xdr:col>
          <xdr:colOff>438150</xdr:colOff>
          <xdr:row>8</xdr:row>
          <xdr:rowOff>0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8</xdr:row>
          <xdr:rowOff>12700</xdr:rowOff>
        </xdr:from>
        <xdr:to>
          <xdr:col>3</xdr:col>
          <xdr:colOff>438150</xdr:colOff>
          <xdr:row>9</xdr:row>
          <xdr:rowOff>12700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9</xdr:row>
          <xdr:rowOff>12700</xdr:rowOff>
        </xdr:from>
        <xdr:to>
          <xdr:col>3</xdr:col>
          <xdr:colOff>438150</xdr:colOff>
          <xdr:row>10</xdr:row>
          <xdr:rowOff>12700</xdr:rowOff>
        </xdr:to>
        <xdr:sp macro="" textlink="">
          <xdr:nvSpPr>
            <xdr:cNvPr id="4104" name="Spinner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9</xdr:row>
          <xdr:rowOff>273050</xdr:rowOff>
        </xdr:from>
        <xdr:to>
          <xdr:col>3</xdr:col>
          <xdr:colOff>438150</xdr:colOff>
          <xdr:row>10</xdr:row>
          <xdr:rowOff>273050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12</xdr:row>
          <xdr:rowOff>12700</xdr:rowOff>
        </xdr:from>
        <xdr:to>
          <xdr:col>3</xdr:col>
          <xdr:colOff>438150</xdr:colOff>
          <xdr:row>13</xdr:row>
          <xdr:rowOff>12700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4</xdr:row>
          <xdr:rowOff>0</xdr:rowOff>
        </xdr:from>
        <xdr:to>
          <xdr:col>4</xdr:col>
          <xdr:colOff>438150</xdr:colOff>
          <xdr:row>5</xdr:row>
          <xdr:rowOff>0</xdr:rowOff>
        </xdr:to>
        <xdr:sp macro="" textlink="">
          <xdr:nvSpPr>
            <xdr:cNvPr id="4110" name="Spinner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5</xdr:row>
          <xdr:rowOff>0</xdr:rowOff>
        </xdr:from>
        <xdr:to>
          <xdr:col>4</xdr:col>
          <xdr:colOff>438150</xdr:colOff>
          <xdr:row>6</xdr:row>
          <xdr:rowOff>0</xdr:rowOff>
        </xdr:to>
        <xdr:sp macro="" textlink="">
          <xdr:nvSpPr>
            <xdr:cNvPr id="4111" name="Spinner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6</xdr:row>
          <xdr:rowOff>0</xdr:rowOff>
        </xdr:from>
        <xdr:to>
          <xdr:col>4</xdr:col>
          <xdr:colOff>438150</xdr:colOff>
          <xdr:row>7</xdr:row>
          <xdr:rowOff>0</xdr:rowOff>
        </xdr:to>
        <xdr:sp macro="" textlink="">
          <xdr:nvSpPr>
            <xdr:cNvPr id="4112" name="Spinner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7</xdr:row>
          <xdr:rowOff>0</xdr:rowOff>
        </xdr:from>
        <xdr:to>
          <xdr:col>4</xdr:col>
          <xdr:colOff>438150</xdr:colOff>
          <xdr:row>8</xdr:row>
          <xdr:rowOff>0</xdr:rowOff>
        </xdr:to>
        <xdr:sp macro="" textlink="">
          <xdr:nvSpPr>
            <xdr:cNvPr id="4113" name="Spinner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4114" name="Spinner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9</xdr:row>
          <xdr:rowOff>0</xdr:rowOff>
        </xdr:from>
        <xdr:to>
          <xdr:col>4</xdr:col>
          <xdr:colOff>438150</xdr:colOff>
          <xdr:row>10</xdr:row>
          <xdr:rowOff>0</xdr:rowOff>
        </xdr:to>
        <xdr:sp macro="" textlink="">
          <xdr:nvSpPr>
            <xdr:cNvPr id="4115" name="Spinner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10</xdr:row>
          <xdr:rowOff>0</xdr:rowOff>
        </xdr:from>
        <xdr:to>
          <xdr:col>4</xdr:col>
          <xdr:colOff>438150</xdr:colOff>
          <xdr:row>11</xdr:row>
          <xdr:rowOff>0</xdr:rowOff>
        </xdr:to>
        <xdr:sp macro="" textlink="">
          <xdr:nvSpPr>
            <xdr:cNvPr id="4116" name="Spinner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11</xdr:row>
          <xdr:rowOff>0</xdr:rowOff>
        </xdr:from>
        <xdr:to>
          <xdr:col>4</xdr:col>
          <xdr:colOff>438150</xdr:colOff>
          <xdr:row>12</xdr:row>
          <xdr:rowOff>0</xdr:rowOff>
        </xdr:to>
        <xdr:sp macro="" textlink="">
          <xdr:nvSpPr>
            <xdr:cNvPr id="4117" name="Spinner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12</xdr:row>
          <xdr:rowOff>0</xdr:rowOff>
        </xdr:from>
        <xdr:to>
          <xdr:col>4</xdr:col>
          <xdr:colOff>438150</xdr:colOff>
          <xdr:row>13</xdr:row>
          <xdr:rowOff>0</xdr:rowOff>
        </xdr:to>
        <xdr:sp macro="" textlink="">
          <xdr:nvSpPr>
            <xdr:cNvPr id="4118" name="Spinner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11</xdr:row>
          <xdr:rowOff>0</xdr:rowOff>
        </xdr:from>
        <xdr:to>
          <xdr:col>3</xdr:col>
          <xdr:colOff>438150</xdr:colOff>
          <xdr:row>12</xdr:row>
          <xdr:rowOff>0</xdr:rowOff>
        </xdr:to>
        <xdr:sp macro="" textlink="">
          <xdr:nvSpPr>
            <xdr:cNvPr id="4119" name="Spinner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3736</xdr:colOff>
      <xdr:row>15</xdr:row>
      <xdr:rowOff>45582</xdr:rowOff>
    </xdr:from>
    <xdr:to>
      <xdr:col>28</xdr:col>
      <xdr:colOff>136281</xdr:colOff>
      <xdr:row>40</xdr:row>
      <xdr:rowOff>164301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23091</xdr:colOff>
      <xdr:row>42</xdr:row>
      <xdr:rowOff>57727</xdr:rowOff>
    </xdr:from>
    <xdr:to>
      <xdr:col>13</xdr:col>
      <xdr:colOff>750455</xdr:colOff>
      <xdr:row>66</xdr:row>
      <xdr:rowOff>69273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42</xdr:row>
      <xdr:rowOff>60037</xdr:rowOff>
    </xdr:from>
    <xdr:to>
      <xdr:col>28</xdr:col>
      <xdr:colOff>138546</xdr:colOff>
      <xdr:row>66</xdr:row>
      <xdr:rowOff>80819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115455</xdr:colOff>
      <xdr:row>176</xdr:row>
      <xdr:rowOff>103910</xdr:rowOff>
    </xdr:from>
    <xdr:to>
      <xdr:col>24</xdr:col>
      <xdr:colOff>9236</xdr:colOff>
      <xdr:row>189</xdr:row>
      <xdr:rowOff>1734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19</xdr:row>
          <xdr:rowOff>0</xdr:rowOff>
        </xdr:from>
        <xdr:to>
          <xdr:col>3</xdr:col>
          <xdr:colOff>438150</xdr:colOff>
          <xdr:row>20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AF6AEFE-5558-4B44-B456-20321F640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20</xdr:row>
          <xdr:rowOff>0</xdr:rowOff>
        </xdr:from>
        <xdr:to>
          <xdr:col>3</xdr:col>
          <xdr:colOff>438150</xdr:colOff>
          <xdr:row>21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CCDFFA6-6F7F-40C8-972B-C5D32990D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21</xdr:row>
          <xdr:rowOff>0</xdr:rowOff>
        </xdr:from>
        <xdr:to>
          <xdr:col>3</xdr:col>
          <xdr:colOff>438150</xdr:colOff>
          <xdr:row>22</xdr:row>
          <xdr:rowOff>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E3F4E667-071D-45D5-9DAC-EC8428006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22</xdr:row>
          <xdr:rowOff>0</xdr:rowOff>
        </xdr:from>
        <xdr:to>
          <xdr:col>3</xdr:col>
          <xdr:colOff>438150</xdr:colOff>
          <xdr:row>23</xdr:row>
          <xdr:rowOff>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D1307657-7C5C-452D-9153-B147E69F4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23</xdr:row>
          <xdr:rowOff>0</xdr:rowOff>
        </xdr:from>
        <xdr:to>
          <xdr:col>3</xdr:col>
          <xdr:colOff>438150</xdr:colOff>
          <xdr:row>24</xdr:row>
          <xdr:rowOff>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1C3E4A8B-A609-4B25-BCBE-BD674CA6D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24</xdr:row>
          <xdr:rowOff>12700</xdr:rowOff>
        </xdr:from>
        <xdr:to>
          <xdr:col>3</xdr:col>
          <xdr:colOff>438150</xdr:colOff>
          <xdr:row>25</xdr:row>
          <xdr:rowOff>12700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5206DFB-A9C9-4BCE-A6CC-BB7D25925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25</xdr:row>
          <xdr:rowOff>12700</xdr:rowOff>
        </xdr:from>
        <xdr:to>
          <xdr:col>3</xdr:col>
          <xdr:colOff>438150</xdr:colOff>
          <xdr:row>26</xdr:row>
          <xdr:rowOff>12700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F2ECB710-AB20-4D55-BC14-C6134C710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25</xdr:row>
          <xdr:rowOff>273050</xdr:rowOff>
        </xdr:from>
        <xdr:to>
          <xdr:col>3</xdr:col>
          <xdr:colOff>438150</xdr:colOff>
          <xdr:row>26</xdr:row>
          <xdr:rowOff>273050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D2C399E7-25F0-4061-AF48-4A086135D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28</xdr:row>
          <xdr:rowOff>12700</xdr:rowOff>
        </xdr:from>
        <xdr:to>
          <xdr:col>3</xdr:col>
          <xdr:colOff>438150</xdr:colOff>
          <xdr:row>29</xdr:row>
          <xdr:rowOff>12700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9C8430DB-AF6C-4BE7-BF0F-A3DF53444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20</xdr:row>
          <xdr:rowOff>0</xdr:rowOff>
        </xdr:from>
        <xdr:to>
          <xdr:col>4</xdr:col>
          <xdr:colOff>438150</xdr:colOff>
          <xdr:row>21</xdr:row>
          <xdr:rowOff>0</xdr:rowOff>
        </xdr:to>
        <xdr:sp macro="" textlink="">
          <xdr:nvSpPr>
            <xdr:cNvPr id="5130" name="Spinner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B2CE0290-E71B-46F0-A5D2-5FD03C8B0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21</xdr:row>
          <xdr:rowOff>0</xdr:rowOff>
        </xdr:from>
        <xdr:to>
          <xdr:col>4</xdr:col>
          <xdr:colOff>438150</xdr:colOff>
          <xdr:row>22</xdr:row>
          <xdr:rowOff>0</xdr:rowOff>
        </xdr:to>
        <xdr:sp macro="" textlink="">
          <xdr:nvSpPr>
            <xdr:cNvPr id="5131" name="Spinner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D43E489E-4922-4F1A-9AEB-D88DB3005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22</xdr:row>
          <xdr:rowOff>0</xdr:rowOff>
        </xdr:from>
        <xdr:to>
          <xdr:col>4</xdr:col>
          <xdr:colOff>438150</xdr:colOff>
          <xdr:row>23</xdr:row>
          <xdr:rowOff>0</xdr:rowOff>
        </xdr:to>
        <xdr:sp macro="" textlink="">
          <xdr:nvSpPr>
            <xdr:cNvPr id="5132" name="Spinner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102FB554-6EED-4CB8-BDB0-413BE6C4A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23</xdr:row>
          <xdr:rowOff>0</xdr:rowOff>
        </xdr:from>
        <xdr:to>
          <xdr:col>4</xdr:col>
          <xdr:colOff>438150</xdr:colOff>
          <xdr:row>24</xdr:row>
          <xdr:rowOff>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6BE943AD-3E33-4445-9A05-D7B2690A0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24</xdr:row>
          <xdr:rowOff>0</xdr:rowOff>
        </xdr:from>
        <xdr:to>
          <xdr:col>4</xdr:col>
          <xdr:colOff>438150</xdr:colOff>
          <xdr:row>25</xdr:row>
          <xdr:rowOff>0</xdr:rowOff>
        </xdr:to>
        <xdr:sp macro="" textlink="">
          <xdr:nvSpPr>
            <xdr:cNvPr id="5134" name="Spinner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1A8F8665-C90C-42ED-B38D-9E61E9B20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25</xdr:row>
          <xdr:rowOff>0</xdr:rowOff>
        </xdr:from>
        <xdr:to>
          <xdr:col>4</xdr:col>
          <xdr:colOff>438150</xdr:colOff>
          <xdr:row>26</xdr:row>
          <xdr:rowOff>0</xdr:rowOff>
        </xdr:to>
        <xdr:sp macro="" textlink="">
          <xdr:nvSpPr>
            <xdr:cNvPr id="5135" name="Spinner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CB51269B-CCC4-40E1-A255-E26EAC890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26</xdr:row>
          <xdr:rowOff>0</xdr:rowOff>
        </xdr:from>
        <xdr:to>
          <xdr:col>4</xdr:col>
          <xdr:colOff>438150</xdr:colOff>
          <xdr:row>27</xdr:row>
          <xdr:rowOff>0</xdr:rowOff>
        </xdr:to>
        <xdr:sp macro="" textlink="">
          <xdr:nvSpPr>
            <xdr:cNvPr id="5136" name="Spinner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37D7BA3-01BC-4A7F-8115-C14DFEA76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27</xdr:row>
          <xdr:rowOff>0</xdr:rowOff>
        </xdr:from>
        <xdr:to>
          <xdr:col>4</xdr:col>
          <xdr:colOff>438150</xdr:colOff>
          <xdr:row>28</xdr:row>
          <xdr:rowOff>0</xdr:rowOff>
        </xdr:to>
        <xdr:sp macro="" textlink="">
          <xdr:nvSpPr>
            <xdr:cNvPr id="5137" name="Spinner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A72BD1C7-05EE-4B4D-A540-1BD3753E9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28</xdr:row>
          <xdr:rowOff>0</xdr:rowOff>
        </xdr:from>
        <xdr:to>
          <xdr:col>4</xdr:col>
          <xdr:colOff>438150</xdr:colOff>
          <xdr:row>29</xdr:row>
          <xdr:rowOff>0</xdr:rowOff>
        </xdr:to>
        <xdr:sp macro="" textlink="">
          <xdr:nvSpPr>
            <xdr:cNvPr id="5138" name="Spinner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1E3F6808-9D13-4E7E-8B83-94DFCAF2B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27</xdr:row>
          <xdr:rowOff>0</xdr:rowOff>
        </xdr:from>
        <xdr:to>
          <xdr:col>3</xdr:col>
          <xdr:colOff>438150</xdr:colOff>
          <xdr:row>28</xdr:row>
          <xdr:rowOff>0</xdr:rowOff>
        </xdr:to>
        <xdr:sp macro="" textlink="">
          <xdr:nvSpPr>
            <xdr:cNvPr id="5139" name="Spinner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DBD3FDE-D7BD-4B34-A7A7-6BA166FB5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3735</xdr:colOff>
      <xdr:row>31</xdr:row>
      <xdr:rowOff>45582</xdr:rowOff>
    </xdr:from>
    <xdr:to>
      <xdr:col>11</xdr:col>
      <xdr:colOff>771280</xdr:colOff>
      <xdr:row>56</xdr:row>
      <xdr:rowOff>164301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79E8CE-8A16-4573-9D45-8726783C8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19</xdr:row>
          <xdr:rowOff>0</xdr:rowOff>
        </xdr:from>
        <xdr:to>
          <xdr:col>16</xdr:col>
          <xdr:colOff>438150</xdr:colOff>
          <xdr:row>20</xdr:row>
          <xdr:rowOff>0</xdr:rowOff>
        </xdr:to>
        <xdr:sp macro="" textlink="">
          <xdr:nvSpPr>
            <xdr:cNvPr id="5141" name="Spinner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77D3A80-B991-42E2-8946-EF640E58C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20</xdr:row>
          <xdr:rowOff>0</xdr:rowOff>
        </xdr:from>
        <xdr:to>
          <xdr:col>16</xdr:col>
          <xdr:colOff>438150</xdr:colOff>
          <xdr:row>21</xdr:row>
          <xdr:rowOff>0</xdr:rowOff>
        </xdr:to>
        <xdr:sp macro="" textlink="">
          <xdr:nvSpPr>
            <xdr:cNvPr id="5142" name="Spinner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1AB5A8ED-B6C8-48B4-9A18-6093BB0A2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21</xdr:row>
          <xdr:rowOff>0</xdr:rowOff>
        </xdr:from>
        <xdr:to>
          <xdr:col>16</xdr:col>
          <xdr:colOff>438150</xdr:colOff>
          <xdr:row>22</xdr:row>
          <xdr:rowOff>0</xdr:rowOff>
        </xdr:to>
        <xdr:sp macro="" textlink="">
          <xdr:nvSpPr>
            <xdr:cNvPr id="5143" name="Spinner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2E283129-5427-4422-9C33-63BD9CBEF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22</xdr:row>
          <xdr:rowOff>0</xdr:rowOff>
        </xdr:from>
        <xdr:to>
          <xdr:col>16</xdr:col>
          <xdr:colOff>438150</xdr:colOff>
          <xdr:row>23</xdr:row>
          <xdr:rowOff>0</xdr:rowOff>
        </xdr:to>
        <xdr:sp macro="" textlink="">
          <xdr:nvSpPr>
            <xdr:cNvPr id="5144" name="Spinner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86F48619-DA8B-4DE1-B41E-58693BB6D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23</xdr:row>
          <xdr:rowOff>0</xdr:rowOff>
        </xdr:from>
        <xdr:to>
          <xdr:col>16</xdr:col>
          <xdr:colOff>438150</xdr:colOff>
          <xdr:row>24</xdr:row>
          <xdr:rowOff>0</xdr:rowOff>
        </xdr:to>
        <xdr:sp macro="" textlink="">
          <xdr:nvSpPr>
            <xdr:cNvPr id="5145" name="Spinner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E7B386B2-073E-489B-9CD2-33A1BBA4D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24</xdr:row>
          <xdr:rowOff>12700</xdr:rowOff>
        </xdr:from>
        <xdr:to>
          <xdr:col>16</xdr:col>
          <xdr:colOff>438150</xdr:colOff>
          <xdr:row>25</xdr:row>
          <xdr:rowOff>12700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4D35438E-226E-4A78-843C-23F3AE248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25</xdr:row>
          <xdr:rowOff>12700</xdr:rowOff>
        </xdr:from>
        <xdr:to>
          <xdr:col>16</xdr:col>
          <xdr:colOff>438150</xdr:colOff>
          <xdr:row>26</xdr:row>
          <xdr:rowOff>12700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AA28B05F-83FA-47E2-9810-B745E56E1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25</xdr:row>
          <xdr:rowOff>273050</xdr:rowOff>
        </xdr:from>
        <xdr:to>
          <xdr:col>16</xdr:col>
          <xdr:colOff>438150</xdr:colOff>
          <xdr:row>26</xdr:row>
          <xdr:rowOff>273050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510E2542-76FF-4E98-BA8B-5869DD518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28</xdr:row>
          <xdr:rowOff>12700</xdr:rowOff>
        </xdr:from>
        <xdr:to>
          <xdr:col>16</xdr:col>
          <xdr:colOff>438150</xdr:colOff>
          <xdr:row>29</xdr:row>
          <xdr:rowOff>12700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28FCB2FB-E7F8-4DBE-829A-08DE3DCC6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27</xdr:row>
          <xdr:rowOff>0</xdr:rowOff>
        </xdr:from>
        <xdr:to>
          <xdr:col>16</xdr:col>
          <xdr:colOff>438150</xdr:colOff>
          <xdr:row>28</xdr:row>
          <xdr:rowOff>0</xdr:rowOff>
        </xdr:to>
        <xdr:sp macro="" textlink="">
          <xdr:nvSpPr>
            <xdr:cNvPr id="5159" name="Spinner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CDD56F48-BAF6-4766-AD6D-692587661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3735</xdr:colOff>
      <xdr:row>31</xdr:row>
      <xdr:rowOff>45582</xdr:rowOff>
    </xdr:from>
    <xdr:to>
      <xdr:col>24</xdr:col>
      <xdr:colOff>152155</xdr:colOff>
      <xdr:row>56</xdr:row>
      <xdr:rowOff>164301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31D84F4-6E0E-C57B-5E49-720B8104D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55.713201851853" createdVersion="8" refreshedVersion="8" minRefreshableVersion="3" recordCount="234" xr:uid="{AA304D10-181C-4BCF-B04A-CECB7A5B1E02}">
  <cacheSource type="worksheet">
    <worksheetSource ref="J17:M251" sheet="ACS_primary"/>
  </cacheSource>
  <cacheFields count="4">
    <cacheField name="year" numFmtId="0">
      <sharedItems containsSemiMixedTypes="0" containsString="0" containsNumber="1" containsInteger="1" minValue="1982" maxValue="2020" count="39"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level" numFmtId="0">
      <sharedItems count="6">
        <s v="Primary 1"/>
        <s v="Primary 2"/>
        <s v="Primary 3"/>
        <s v="Primary 4"/>
        <s v="Primary 5"/>
        <s v="Primary 6"/>
      </sharedItems>
    </cacheField>
    <cacheField name="no_of_classes" numFmtId="0">
      <sharedItems containsSemiMixedTypes="0" containsString="0" containsNumber="1" containsInteger="1" minValue="909" maxValue="1648" count="188">
        <n v="1072"/>
        <n v="1137"/>
        <n v="1251"/>
        <n v="1457"/>
        <n v="1442"/>
        <n v="1648"/>
        <n v="1094"/>
        <n v="1044"/>
        <n v="1113"/>
        <n v="1333"/>
        <n v="1458"/>
        <n v="1443"/>
        <n v="999"/>
        <n v="1116"/>
        <n v="1055"/>
        <n v="1205"/>
        <n v="1354"/>
        <n v="1449"/>
        <n v="1019"/>
        <n v="1043"/>
        <n v="1138"/>
        <n v="1142"/>
        <n v="1242"/>
        <n v="1361"/>
        <n v="1058"/>
        <n v="1038"/>
        <n v="1213"/>
        <n v="1158"/>
        <n v="1252"/>
        <n v="1052"/>
        <n v="1066"/>
        <n v="1051"/>
        <n v="1111"/>
        <n v="1172"/>
        <n v="1084"/>
        <n v="1135"/>
        <n v="1146"/>
        <n v="1093"/>
        <n v="1159"/>
        <n v="1156"/>
        <n v="1153"/>
        <n v="1020"/>
        <n v="1092"/>
        <n v="1090"/>
        <n v="1144"/>
        <n v="1164"/>
        <n v="1148"/>
        <n v="1025"/>
        <n v="1100"/>
        <n v="1162"/>
        <n v="1065"/>
        <n v="1036"/>
        <n v="1033"/>
        <n v="1091"/>
        <n v="1513"/>
        <n v="909"/>
        <n v="1008"/>
        <n v="1078"/>
        <n v="1334"/>
        <n v="1575"/>
        <n v="1123"/>
        <n v="1010"/>
        <n v="1087"/>
        <n v="1073"/>
        <n v="1271"/>
        <n v="1358"/>
        <n v="1149"/>
        <n v="1035"/>
        <n v="1114"/>
        <n v="1139"/>
        <n v="1203"/>
        <n v="1234"/>
        <n v="1379"/>
        <n v="1166"/>
        <n v="1056"/>
        <n v="1173"/>
        <n v="1231"/>
        <n v="1313"/>
        <n v="1255"/>
        <n v="1387"/>
        <n v="1184"/>
        <n v="1096"/>
        <n v="1238"/>
        <n v="1294"/>
        <n v="1335"/>
        <n v="1270"/>
        <n v="1407"/>
        <n v="1221"/>
        <n v="1157"/>
        <n v="1296"/>
        <n v="1372"/>
        <n v="1318"/>
        <n v="1460"/>
        <n v="1281"/>
        <n v="1299"/>
        <n v="1312"/>
        <n v="1326"/>
        <n v="1378"/>
        <n v="1359"/>
        <n v="1522"/>
        <n v="1285"/>
        <n v="1311"/>
        <n v="1310"/>
        <n v="1347"/>
        <n v="1429"/>
        <n v="1406"/>
        <n v="1275"/>
        <n v="1288"/>
        <n v="1306"/>
        <n v="1322"/>
        <n v="1373"/>
        <n v="1476"/>
        <n v="1269"/>
        <n v="1362"/>
        <n v="1433"/>
        <n v="1232"/>
        <n v="1375"/>
        <n v="1418"/>
        <n v="1478"/>
        <n v="1237"/>
        <n v="1273"/>
        <n v="1293"/>
        <n v="1345"/>
        <n v="1410"/>
        <n v="1489"/>
        <n v="1483"/>
        <n v="1300"/>
        <n v="1395"/>
        <n v="1609"/>
        <n v="1492"/>
        <n v="1167"/>
        <n v="1264"/>
        <n v="1381"/>
        <n v="1614"/>
        <n v="1187"/>
        <n v="1192"/>
        <n v="1368"/>
        <n v="1434"/>
        <n v="1445"/>
        <n v="1266"/>
        <n v="1207"/>
        <n v="1220"/>
        <n v="1336"/>
        <n v="1430"/>
        <n v="1284"/>
        <n v="1260"/>
        <n v="1324"/>
        <n v="1337"/>
        <n v="1134"/>
        <n v="1161"/>
        <n v="1301"/>
        <n v="1265"/>
        <n v="1323"/>
        <n v="1057"/>
        <n v="1155"/>
        <n v="1185"/>
        <n v="1360"/>
        <n v="1068"/>
        <n v="1086"/>
        <n v="1180"/>
        <n v="1215"/>
        <n v="1383"/>
        <n v="1357"/>
        <n v="1106"/>
        <n v="1196"/>
        <n v="1365"/>
        <n v="1104"/>
        <n v="1117"/>
        <n v="1341"/>
        <n v="1107"/>
        <n v="1103"/>
        <n v="1110"/>
        <n v="1286"/>
        <n v="1338"/>
        <n v="1088"/>
        <n v="1126"/>
        <n v="1130"/>
        <n v="1283"/>
        <n v="1082"/>
        <n v="1115"/>
        <n v="1154"/>
        <n v="1377"/>
        <n v="1047"/>
        <n v="1168"/>
        <n v="1292"/>
        <n v="1064"/>
        <n v="1062"/>
        <n v="1120"/>
      </sharedItems>
    </cacheField>
    <cacheField name="ave_class_size" numFmtId="0">
      <sharedItems containsSemiMixedTypes="0" containsString="0" containsNumber="1" minValue="28.7" maxValue="39.7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55.722171180554" createdVersion="8" refreshedVersion="8" minRefreshableVersion="3" recordCount="195" xr:uid="{41925BC6-C813-4831-BF94-87EC9277B5C9}">
  <cacheSource type="worksheet">
    <worksheetSource ref="A1:A196" sheet="ACS_secondary"/>
  </cacheSource>
  <cacheFields count="4">
    <cacheField name="year" numFmtId="0">
      <sharedItems containsSemiMixedTypes="0" containsString="0" containsNumber="1" containsInteger="1" minValue="1982" maxValue="2020" count="39"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level" numFmtId="0">
      <sharedItems/>
    </cacheField>
    <cacheField name="no_of_classes" numFmtId="0">
      <sharedItems containsSemiMixedTypes="0" containsString="0" containsNumber="1" containsInteger="1" minValue="0" maxValue="1581"/>
    </cacheField>
    <cacheField name="ave_class_size" numFmtId="0">
      <sharedItems containsSemiMixedTypes="0" containsString="0" containsNumber="1" minValue="0" maxValue="38.7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">
  <r>
    <x v="0"/>
    <x v="0"/>
    <x v="0"/>
    <n v="36.9"/>
  </r>
  <r>
    <x v="0"/>
    <x v="1"/>
    <x v="1"/>
    <n v="37.5"/>
  </r>
  <r>
    <x v="0"/>
    <x v="2"/>
    <x v="2"/>
    <n v="37.299999999999997"/>
  </r>
  <r>
    <x v="0"/>
    <x v="3"/>
    <x v="3"/>
    <n v="33.799999999999997"/>
  </r>
  <r>
    <x v="0"/>
    <x v="4"/>
    <x v="4"/>
    <n v="33"/>
  </r>
  <r>
    <x v="0"/>
    <x v="5"/>
    <x v="5"/>
    <n v="33.799999999999997"/>
  </r>
  <r>
    <x v="1"/>
    <x v="0"/>
    <x v="6"/>
    <n v="39.5"/>
  </r>
  <r>
    <x v="1"/>
    <x v="1"/>
    <x v="7"/>
    <n v="38.299999999999997"/>
  </r>
  <r>
    <x v="1"/>
    <x v="2"/>
    <x v="8"/>
    <n v="38.5"/>
  </r>
  <r>
    <x v="1"/>
    <x v="3"/>
    <x v="9"/>
    <n v="35.4"/>
  </r>
  <r>
    <x v="1"/>
    <x v="4"/>
    <x v="10"/>
    <n v="34.200000000000003"/>
  </r>
  <r>
    <x v="1"/>
    <x v="5"/>
    <x v="11"/>
    <n v="33.700000000000003"/>
  </r>
  <r>
    <x v="2"/>
    <x v="0"/>
    <x v="12"/>
    <n v="38.700000000000003"/>
  </r>
  <r>
    <x v="2"/>
    <x v="1"/>
    <x v="13"/>
    <n v="38.9"/>
  </r>
  <r>
    <x v="2"/>
    <x v="2"/>
    <x v="14"/>
    <n v="38.1"/>
  </r>
  <r>
    <x v="2"/>
    <x v="3"/>
    <x v="15"/>
    <n v="35.9"/>
  </r>
  <r>
    <x v="2"/>
    <x v="4"/>
    <x v="16"/>
    <n v="35.200000000000003"/>
  </r>
  <r>
    <x v="2"/>
    <x v="5"/>
    <x v="17"/>
    <n v="34.5"/>
  </r>
  <r>
    <x v="3"/>
    <x v="0"/>
    <x v="18"/>
    <n v="38.700000000000003"/>
  </r>
  <r>
    <x v="3"/>
    <x v="1"/>
    <x v="19"/>
    <n v="37.299999999999997"/>
  </r>
  <r>
    <x v="3"/>
    <x v="2"/>
    <x v="20"/>
    <n v="38.200000000000003"/>
  </r>
  <r>
    <x v="3"/>
    <x v="3"/>
    <x v="21"/>
    <n v="35.299999999999997"/>
  </r>
  <r>
    <x v="3"/>
    <x v="4"/>
    <x v="22"/>
    <n v="35"/>
  </r>
  <r>
    <x v="3"/>
    <x v="5"/>
    <x v="23"/>
    <n v="34.9"/>
  </r>
  <r>
    <x v="4"/>
    <x v="0"/>
    <x v="24"/>
    <n v="38"/>
  </r>
  <r>
    <x v="4"/>
    <x v="1"/>
    <x v="19"/>
    <n v="37.799999999999997"/>
  </r>
  <r>
    <x v="4"/>
    <x v="2"/>
    <x v="25"/>
    <n v="37.4"/>
  </r>
  <r>
    <x v="4"/>
    <x v="3"/>
    <x v="26"/>
    <n v="35.799999999999997"/>
  </r>
  <r>
    <x v="4"/>
    <x v="4"/>
    <x v="27"/>
    <n v="34.9"/>
  </r>
  <r>
    <x v="4"/>
    <x v="5"/>
    <x v="28"/>
    <n v="34.799999999999997"/>
  </r>
  <r>
    <x v="5"/>
    <x v="0"/>
    <x v="29"/>
    <n v="38.200000000000003"/>
  </r>
  <r>
    <x v="5"/>
    <x v="1"/>
    <x v="30"/>
    <n v="37.700000000000003"/>
  </r>
  <r>
    <x v="5"/>
    <x v="2"/>
    <x v="31"/>
    <n v="37.4"/>
  </r>
  <r>
    <x v="5"/>
    <x v="3"/>
    <x v="32"/>
    <n v="34.799999999999997"/>
  </r>
  <r>
    <x v="5"/>
    <x v="4"/>
    <x v="28"/>
    <n v="34.700000000000003"/>
  </r>
  <r>
    <x v="5"/>
    <x v="5"/>
    <x v="33"/>
    <n v="34.6"/>
  </r>
  <r>
    <x v="6"/>
    <x v="0"/>
    <x v="34"/>
    <n v="38"/>
  </r>
  <r>
    <x v="6"/>
    <x v="1"/>
    <x v="0"/>
    <n v="37.6"/>
  </r>
  <r>
    <x v="6"/>
    <x v="2"/>
    <x v="34"/>
    <n v="37"/>
  </r>
  <r>
    <x v="6"/>
    <x v="3"/>
    <x v="35"/>
    <n v="34.6"/>
  </r>
  <r>
    <x v="6"/>
    <x v="4"/>
    <x v="36"/>
    <n v="33.9"/>
  </r>
  <r>
    <x v="6"/>
    <x v="5"/>
    <x v="28"/>
    <n v="34"/>
  </r>
  <r>
    <x v="7"/>
    <x v="0"/>
    <x v="37"/>
    <n v="37.9"/>
  </r>
  <r>
    <x v="7"/>
    <x v="1"/>
    <x v="6"/>
    <n v="37.6"/>
  </r>
  <r>
    <x v="7"/>
    <x v="2"/>
    <x v="34"/>
    <n v="37.1"/>
  </r>
  <r>
    <x v="7"/>
    <x v="3"/>
    <x v="38"/>
    <n v="34.6"/>
  </r>
  <r>
    <x v="7"/>
    <x v="4"/>
    <x v="39"/>
    <n v="34.1"/>
  </r>
  <r>
    <x v="7"/>
    <x v="5"/>
    <x v="40"/>
    <n v="33.799999999999997"/>
  </r>
  <r>
    <x v="8"/>
    <x v="0"/>
    <x v="41"/>
    <n v="38.5"/>
  </r>
  <r>
    <x v="8"/>
    <x v="1"/>
    <x v="42"/>
    <n v="38.1"/>
  </r>
  <r>
    <x v="8"/>
    <x v="2"/>
    <x v="43"/>
    <n v="37.799999999999997"/>
  </r>
  <r>
    <x v="8"/>
    <x v="3"/>
    <x v="44"/>
    <n v="35.299999999999997"/>
  </r>
  <r>
    <x v="8"/>
    <x v="4"/>
    <x v="45"/>
    <n v="34.6"/>
  </r>
  <r>
    <x v="8"/>
    <x v="5"/>
    <x v="46"/>
    <n v="33.6"/>
  </r>
  <r>
    <x v="9"/>
    <x v="0"/>
    <x v="18"/>
    <n v="39.700000000000003"/>
  </r>
  <r>
    <x v="9"/>
    <x v="1"/>
    <x v="47"/>
    <n v="38.6"/>
  </r>
  <r>
    <x v="9"/>
    <x v="2"/>
    <x v="42"/>
    <n v="38.299999999999997"/>
  </r>
  <r>
    <x v="9"/>
    <x v="3"/>
    <x v="48"/>
    <n v="37.700000000000003"/>
  </r>
  <r>
    <x v="9"/>
    <x v="4"/>
    <x v="40"/>
    <n v="35.200000000000003"/>
  </r>
  <r>
    <x v="9"/>
    <x v="5"/>
    <x v="49"/>
    <n v="34.5"/>
  </r>
  <r>
    <x v="10"/>
    <x v="0"/>
    <x v="50"/>
    <n v="39.1"/>
  </r>
  <r>
    <x v="10"/>
    <x v="1"/>
    <x v="51"/>
    <n v="39.299999999999997"/>
  </r>
  <r>
    <x v="10"/>
    <x v="2"/>
    <x v="52"/>
    <n v="38.5"/>
  </r>
  <r>
    <x v="10"/>
    <x v="3"/>
    <x v="53"/>
    <n v="38.4"/>
  </r>
  <r>
    <x v="10"/>
    <x v="4"/>
    <x v="54"/>
    <n v="32.5"/>
  </r>
  <r>
    <x v="10"/>
    <x v="5"/>
    <x v="55"/>
    <n v="36.6"/>
  </r>
  <r>
    <x v="11"/>
    <x v="0"/>
    <x v="56"/>
    <n v="37.799999999999997"/>
  </r>
  <r>
    <x v="11"/>
    <x v="1"/>
    <x v="57"/>
    <n v="38.700000000000003"/>
  </r>
  <r>
    <x v="11"/>
    <x v="2"/>
    <x v="31"/>
    <n v="38.9"/>
  </r>
  <r>
    <x v="11"/>
    <x v="3"/>
    <x v="29"/>
    <n v="38"/>
  </r>
  <r>
    <x v="11"/>
    <x v="4"/>
    <x v="58"/>
    <n v="31.6"/>
  </r>
  <r>
    <x v="11"/>
    <x v="5"/>
    <x v="59"/>
    <n v="32.1"/>
  </r>
  <r>
    <x v="12"/>
    <x v="0"/>
    <x v="60"/>
    <n v="38.9"/>
  </r>
  <r>
    <x v="12"/>
    <x v="1"/>
    <x v="61"/>
    <n v="37.9"/>
  </r>
  <r>
    <x v="12"/>
    <x v="2"/>
    <x v="62"/>
    <n v="38.700000000000003"/>
  </r>
  <r>
    <x v="12"/>
    <x v="3"/>
    <x v="63"/>
    <n v="38.299999999999997"/>
  </r>
  <r>
    <x v="12"/>
    <x v="4"/>
    <x v="43"/>
    <n v="36.9"/>
  </r>
  <r>
    <x v="12"/>
    <x v="5"/>
    <x v="64"/>
    <n v="35.9"/>
  </r>
  <r>
    <x v="13"/>
    <x v="0"/>
    <x v="65"/>
    <n v="39.1"/>
  </r>
  <r>
    <x v="13"/>
    <x v="1"/>
    <x v="66"/>
    <n v="38.200000000000003"/>
  </r>
  <r>
    <x v="13"/>
    <x v="2"/>
    <x v="67"/>
    <n v="37.299999999999997"/>
  </r>
  <r>
    <x v="13"/>
    <x v="3"/>
    <x v="68"/>
    <n v="37.9"/>
  </r>
  <r>
    <x v="13"/>
    <x v="4"/>
    <x v="69"/>
    <n v="36.200000000000003"/>
  </r>
  <r>
    <x v="13"/>
    <x v="5"/>
    <x v="70"/>
    <n v="35.4"/>
  </r>
  <r>
    <x v="14"/>
    <x v="0"/>
    <x v="71"/>
    <n v="39"/>
  </r>
  <r>
    <x v="14"/>
    <x v="1"/>
    <x v="72"/>
    <n v="38.700000000000003"/>
  </r>
  <r>
    <x v="14"/>
    <x v="2"/>
    <x v="73"/>
    <n v="37.799999999999997"/>
  </r>
  <r>
    <x v="14"/>
    <x v="3"/>
    <x v="74"/>
    <n v="36.700000000000003"/>
  </r>
  <r>
    <x v="14"/>
    <x v="4"/>
    <x v="75"/>
    <n v="36.1"/>
  </r>
  <r>
    <x v="14"/>
    <x v="5"/>
    <x v="76"/>
    <n v="34.9"/>
  </r>
  <r>
    <x v="15"/>
    <x v="0"/>
    <x v="77"/>
    <n v="39.200000000000003"/>
  </r>
  <r>
    <x v="15"/>
    <x v="1"/>
    <x v="78"/>
    <n v="38.4"/>
  </r>
  <r>
    <x v="15"/>
    <x v="2"/>
    <x v="79"/>
    <n v="38.700000000000003"/>
  </r>
  <r>
    <x v="15"/>
    <x v="3"/>
    <x v="80"/>
    <n v="37.299999999999997"/>
  </r>
  <r>
    <x v="15"/>
    <x v="4"/>
    <x v="81"/>
    <n v="35.5"/>
  </r>
  <r>
    <x v="15"/>
    <x v="5"/>
    <x v="82"/>
    <n v="35.200000000000003"/>
  </r>
  <r>
    <x v="16"/>
    <x v="0"/>
    <x v="83"/>
    <n v="38.5"/>
  </r>
  <r>
    <x v="16"/>
    <x v="1"/>
    <x v="84"/>
    <n v="38.799999999999997"/>
  </r>
  <r>
    <x v="16"/>
    <x v="2"/>
    <x v="85"/>
    <n v="38.200000000000003"/>
  </r>
  <r>
    <x v="16"/>
    <x v="3"/>
    <x v="86"/>
    <n v="38.200000000000003"/>
  </r>
  <r>
    <x v="16"/>
    <x v="4"/>
    <x v="87"/>
    <n v="36.299999999999997"/>
  </r>
  <r>
    <x v="16"/>
    <x v="5"/>
    <x v="88"/>
    <n v="34.700000000000003"/>
  </r>
  <r>
    <x v="17"/>
    <x v="0"/>
    <x v="89"/>
    <n v="38.5"/>
  </r>
  <r>
    <x v="17"/>
    <x v="1"/>
    <x v="58"/>
    <n v="37.4"/>
  </r>
  <r>
    <x v="17"/>
    <x v="2"/>
    <x v="90"/>
    <n v="38"/>
  </r>
  <r>
    <x v="17"/>
    <x v="3"/>
    <x v="91"/>
    <n v="37"/>
  </r>
  <r>
    <x v="17"/>
    <x v="4"/>
    <x v="92"/>
    <n v="36.9"/>
  </r>
  <r>
    <x v="17"/>
    <x v="5"/>
    <x v="93"/>
    <n v="35.6"/>
  </r>
  <r>
    <x v="18"/>
    <x v="0"/>
    <x v="94"/>
    <n v="38.700000000000003"/>
  </r>
  <r>
    <x v="18"/>
    <x v="1"/>
    <x v="95"/>
    <n v="38"/>
  </r>
  <r>
    <x v="18"/>
    <x v="2"/>
    <x v="96"/>
    <n v="37.700000000000003"/>
  </r>
  <r>
    <x v="18"/>
    <x v="3"/>
    <x v="97"/>
    <n v="37.9"/>
  </r>
  <r>
    <x v="18"/>
    <x v="4"/>
    <x v="98"/>
    <n v="35.9"/>
  </r>
  <r>
    <x v="18"/>
    <x v="5"/>
    <x v="99"/>
    <n v="36"/>
  </r>
  <r>
    <x v="19"/>
    <x v="0"/>
    <x v="100"/>
    <n v="38.700000000000003"/>
  </r>
  <r>
    <x v="19"/>
    <x v="1"/>
    <x v="101"/>
    <n v="38.299999999999997"/>
  </r>
  <r>
    <x v="19"/>
    <x v="2"/>
    <x v="102"/>
    <n v="38.1"/>
  </r>
  <r>
    <x v="19"/>
    <x v="3"/>
    <x v="103"/>
    <n v="37.200000000000003"/>
  </r>
  <r>
    <x v="19"/>
    <x v="4"/>
    <x v="104"/>
    <n v="36.6"/>
  </r>
  <r>
    <x v="19"/>
    <x v="5"/>
    <x v="105"/>
    <n v="35.9"/>
  </r>
  <r>
    <x v="20"/>
    <x v="0"/>
    <x v="106"/>
    <n v="38.4"/>
  </r>
  <r>
    <x v="20"/>
    <x v="1"/>
    <x v="107"/>
    <n v="38.700000000000003"/>
  </r>
  <r>
    <x v="20"/>
    <x v="2"/>
    <x v="108"/>
    <n v="38.6"/>
  </r>
  <r>
    <x v="20"/>
    <x v="3"/>
    <x v="109"/>
    <n v="37.799999999999997"/>
  </r>
  <r>
    <x v="20"/>
    <x v="4"/>
    <x v="110"/>
    <n v="36.6"/>
  </r>
  <r>
    <x v="20"/>
    <x v="5"/>
    <x v="111"/>
    <n v="36.1"/>
  </r>
  <r>
    <x v="21"/>
    <x v="0"/>
    <x v="112"/>
    <n v="38.6"/>
  </r>
  <r>
    <x v="21"/>
    <x v="1"/>
    <x v="85"/>
    <n v="38.6"/>
  </r>
  <r>
    <x v="21"/>
    <x v="2"/>
    <x v="107"/>
    <n v="38.799999999999997"/>
  </r>
  <r>
    <x v="21"/>
    <x v="3"/>
    <x v="109"/>
    <n v="38.200000000000003"/>
  </r>
  <r>
    <x v="21"/>
    <x v="4"/>
    <x v="113"/>
    <n v="36.799999999999997"/>
  </r>
  <r>
    <x v="21"/>
    <x v="5"/>
    <x v="114"/>
    <n v="35.799999999999997"/>
  </r>
  <r>
    <x v="22"/>
    <x v="0"/>
    <x v="115"/>
    <n v="38.4"/>
  </r>
  <r>
    <x v="22"/>
    <x v="1"/>
    <x v="112"/>
    <n v="38.5"/>
  </r>
  <r>
    <x v="22"/>
    <x v="2"/>
    <x v="112"/>
    <n v="38.6"/>
  </r>
  <r>
    <x v="22"/>
    <x v="3"/>
    <x v="102"/>
    <n v="38.1"/>
  </r>
  <r>
    <x v="22"/>
    <x v="4"/>
    <x v="116"/>
    <n v="36.700000000000003"/>
  </r>
  <r>
    <x v="22"/>
    <x v="5"/>
    <x v="117"/>
    <n v="35.9"/>
  </r>
  <r>
    <x v="23"/>
    <x v="0"/>
    <x v="118"/>
    <n v="29.4"/>
  </r>
  <r>
    <x v="23"/>
    <x v="1"/>
    <x v="119"/>
    <n v="38.299999999999997"/>
  </r>
  <r>
    <x v="23"/>
    <x v="2"/>
    <x v="120"/>
    <n v="38.5"/>
  </r>
  <r>
    <x v="23"/>
    <x v="3"/>
    <x v="121"/>
    <n v="38.1"/>
  </r>
  <r>
    <x v="23"/>
    <x v="4"/>
    <x v="122"/>
    <n v="37.200000000000003"/>
  </r>
  <r>
    <x v="23"/>
    <x v="5"/>
    <x v="123"/>
    <n v="36.299999999999997"/>
  </r>
  <r>
    <x v="24"/>
    <x v="0"/>
    <x v="124"/>
    <n v="29.5"/>
  </r>
  <r>
    <x v="24"/>
    <x v="1"/>
    <x v="125"/>
    <n v="29.4"/>
  </r>
  <r>
    <x v="24"/>
    <x v="2"/>
    <x v="71"/>
    <n v="38.700000000000003"/>
  </r>
  <r>
    <x v="24"/>
    <x v="3"/>
    <x v="126"/>
    <n v="38"/>
  </r>
  <r>
    <x v="24"/>
    <x v="4"/>
    <x v="58"/>
    <n v="37"/>
  </r>
  <r>
    <x v="24"/>
    <x v="5"/>
    <x v="127"/>
    <n v="36.299999999999997"/>
  </r>
  <r>
    <x v="25"/>
    <x v="0"/>
    <x v="128"/>
    <n v="29.8"/>
  </r>
  <r>
    <x v="25"/>
    <x v="1"/>
    <x v="129"/>
    <n v="29.7"/>
  </r>
  <r>
    <x v="25"/>
    <x v="2"/>
    <x v="130"/>
    <n v="38.1"/>
  </r>
  <r>
    <x v="25"/>
    <x v="3"/>
    <x v="131"/>
    <n v="38.200000000000003"/>
  </r>
  <r>
    <x v="25"/>
    <x v="4"/>
    <x v="58"/>
    <n v="37.299999999999997"/>
  </r>
  <r>
    <x v="25"/>
    <x v="5"/>
    <x v="132"/>
    <n v="36.299999999999997"/>
  </r>
  <r>
    <x v="26"/>
    <x v="0"/>
    <x v="4"/>
    <n v="29.7"/>
  </r>
  <r>
    <x v="26"/>
    <x v="1"/>
    <x v="133"/>
    <n v="29.7"/>
  </r>
  <r>
    <x v="26"/>
    <x v="2"/>
    <x v="134"/>
    <n v="37.9"/>
  </r>
  <r>
    <x v="26"/>
    <x v="3"/>
    <x v="135"/>
    <n v="37.700000000000003"/>
  </r>
  <r>
    <x v="26"/>
    <x v="4"/>
    <x v="83"/>
    <n v="37.299999999999997"/>
  </r>
  <r>
    <x v="26"/>
    <x v="5"/>
    <x v="136"/>
    <n v="36.700000000000003"/>
  </r>
  <r>
    <x v="27"/>
    <x v="0"/>
    <x v="137"/>
    <n v="30"/>
  </r>
  <r>
    <x v="27"/>
    <x v="1"/>
    <x v="138"/>
    <n v="30"/>
  </r>
  <r>
    <x v="27"/>
    <x v="2"/>
    <x v="139"/>
    <n v="38"/>
  </r>
  <r>
    <x v="27"/>
    <x v="3"/>
    <x v="140"/>
    <n v="37"/>
  </r>
  <r>
    <x v="27"/>
    <x v="4"/>
    <x v="141"/>
    <n v="37"/>
  </r>
  <r>
    <x v="27"/>
    <x v="5"/>
    <x v="58"/>
    <n v="37"/>
  </r>
  <r>
    <x v="28"/>
    <x v="0"/>
    <x v="142"/>
    <n v="29.6"/>
  </r>
  <r>
    <x v="28"/>
    <x v="1"/>
    <x v="143"/>
    <n v="29.7"/>
  </r>
  <r>
    <x v="28"/>
    <x v="2"/>
    <x v="46"/>
    <n v="37.5"/>
  </r>
  <r>
    <x v="28"/>
    <x v="3"/>
    <x v="144"/>
    <n v="37.700000000000003"/>
  </r>
  <r>
    <x v="28"/>
    <x v="4"/>
    <x v="71"/>
    <n v="36.6"/>
  </r>
  <r>
    <x v="28"/>
    <x v="5"/>
    <x v="145"/>
    <n v="36"/>
  </r>
  <r>
    <x v="29"/>
    <x v="0"/>
    <x v="146"/>
    <n v="29.7"/>
  </r>
  <r>
    <x v="29"/>
    <x v="1"/>
    <x v="147"/>
    <n v="29.5"/>
  </r>
  <r>
    <x v="29"/>
    <x v="2"/>
    <x v="148"/>
    <n v="37.5"/>
  </r>
  <r>
    <x v="29"/>
    <x v="3"/>
    <x v="149"/>
    <n v="37.200000000000003"/>
  </r>
  <r>
    <x v="29"/>
    <x v="4"/>
    <x v="150"/>
    <n v="37.1"/>
  </r>
  <r>
    <x v="29"/>
    <x v="5"/>
    <x v="151"/>
    <n v="36"/>
  </r>
  <r>
    <x v="30"/>
    <x v="0"/>
    <x v="58"/>
    <n v="29.7"/>
  </r>
  <r>
    <x v="30"/>
    <x v="1"/>
    <x v="152"/>
    <n v="29.7"/>
  </r>
  <r>
    <x v="30"/>
    <x v="2"/>
    <x v="153"/>
    <n v="37.5"/>
  </r>
  <r>
    <x v="30"/>
    <x v="3"/>
    <x v="154"/>
    <n v="36.9"/>
  </r>
  <r>
    <x v="30"/>
    <x v="4"/>
    <x v="155"/>
    <n v="36.299999999999997"/>
  </r>
  <r>
    <x v="30"/>
    <x v="5"/>
    <x v="152"/>
    <n v="36.700000000000003"/>
  </r>
  <r>
    <x v="31"/>
    <x v="0"/>
    <x v="156"/>
    <n v="29.5"/>
  </r>
  <r>
    <x v="31"/>
    <x v="1"/>
    <x v="9"/>
    <n v="29.6"/>
  </r>
  <r>
    <x v="31"/>
    <x v="2"/>
    <x v="157"/>
    <n v="36.799999999999997"/>
  </r>
  <r>
    <x v="31"/>
    <x v="3"/>
    <x v="158"/>
    <n v="36.4"/>
  </r>
  <r>
    <x v="31"/>
    <x v="4"/>
    <x v="159"/>
    <n v="35.9"/>
  </r>
  <r>
    <x v="31"/>
    <x v="5"/>
    <x v="160"/>
    <n v="35.6"/>
  </r>
  <r>
    <x v="32"/>
    <x v="0"/>
    <x v="161"/>
    <n v="29.6"/>
  </r>
  <r>
    <x v="32"/>
    <x v="1"/>
    <x v="162"/>
    <n v="29.6"/>
  </r>
  <r>
    <x v="32"/>
    <x v="2"/>
    <x v="157"/>
    <n v="36.9"/>
  </r>
  <r>
    <x v="32"/>
    <x v="3"/>
    <x v="158"/>
    <n v="36.1"/>
  </r>
  <r>
    <x v="32"/>
    <x v="4"/>
    <x v="163"/>
    <n v="35.5"/>
  </r>
  <r>
    <x v="32"/>
    <x v="5"/>
    <x v="164"/>
    <n v="35.6"/>
  </r>
  <r>
    <x v="33"/>
    <x v="0"/>
    <x v="165"/>
    <n v="29.4"/>
  </r>
  <r>
    <x v="33"/>
    <x v="1"/>
    <x v="161"/>
    <n v="29.5"/>
  </r>
  <r>
    <x v="33"/>
    <x v="2"/>
    <x v="158"/>
    <n v="37"/>
  </r>
  <r>
    <x v="33"/>
    <x v="3"/>
    <x v="158"/>
    <n v="36.299999999999997"/>
  </r>
  <r>
    <x v="33"/>
    <x v="4"/>
    <x v="166"/>
    <n v="35.4"/>
  </r>
  <r>
    <x v="33"/>
    <x v="5"/>
    <x v="167"/>
    <n v="35.4"/>
  </r>
  <r>
    <x v="34"/>
    <x v="0"/>
    <x v="168"/>
    <n v="29"/>
  </r>
  <r>
    <x v="34"/>
    <x v="1"/>
    <x v="165"/>
    <n v="29.4"/>
  </r>
  <r>
    <x v="34"/>
    <x v="2"/>
    <x v="169"/>
    <n v="36.799999999999997"/>
  </r>
  <r>
    <x v="34"/>
    <x v="3"/>
    <x v="170"/>
    <n v="36.4"/>
  </r>
  <r>
    <x v="34"/>
    <x v="4"/>
    <x v="171"/>
    <n v="35.4"/>
  </r>
  <r>
    <x v="34"/>
    <x v="5"/>
    <x v="167"/>
    <n v="34.9"/>
  </r>
  <r>
    <x v="35"/>
    <x v="0"/>
    <x v="172"/>
    <n v="28.7"/>
  </r>
  <r>
    <x v="35"/>
    <x v="1"/>
    <x v="173"/>
    <n v="29.1"/>
  </r>
  <r>
    <x v="35"/>
    <x v="2"/>
    <x v="174"/>
    <n v="36.9"/>
  </r>
  <r>
    <x v="35"/>
    <x v="3"/>
    <x v="175"/>
    <n v="36.1"/>
  </r>
  <r>
    <x v="35"/>
    <x v="4"/>
    <x v="1"/>
    <n v="35.1"/>
  </r>
  <r>
    <x v="35"/>
    <x v="5"/>
    <x v="176"/>
    <n v="34.700000000000003"/>
  </r>
  <r>
    <x v="36"/>
    <x v="0"/>
    <x v="89"/>
    <n v="29.1"/>
  </r>
  <r>
    <x v="36"/>
    <x v="1"/>
    <x v="177"/>
    <n v="28.9"/>
  </r>
  <r>
    <x v="36"/>
    <x v="2"/>
    <x v="178"/>
    <n v="36.200000000000003"/>
  </r>
  <r>
    <x v="36"/>
    <x v="3"/>
    <x v="179"/>
    <n v="36"/>
  </r>
  <r>
    <x v="36"/>
    <x v="4"/>
    <x v="180"/>
    <n v="35"/>
  </r>
  <r>
    <x v="36"/>
    <x v="5"/>
    <x v="38"/>
    <n v="34.4"/>
  </r>
  <r>
    <x v="37"/>
    <x v="0"/>
    <x v="181"/>
    <n v="29.3"/>
  </r>
  <r>
    <x v="37"/>
    <x v="1"/>
    <x v="89"/>
    <n v="29.2"/>
  </r>
  <r>
    <x v="37"/>
    <x v="2"/>
    <x v="182"/>
    <n v="35.5"/>
  </r>
  <r>
    <x v="37"/>
    <x v="3"/>
    <x v="81"/>
    <n v="35.700000000000003"/>
  </r>
  <r>
    <x v="37"/>
    <x v="4"/>
    <x v="69"/>
    <n v="35.200000000000003"/>
  </r>
  <r>
    <x v="37"/>
    <x v="5"/>
    <x v="183"/>
    <n v="34.6"/>
  </r>
  <r>
    <x v="38"/>
    <x v="0"/>
    <x v="184"/>
    <n v="28.9"/>
  </r>
  <r>
    <x v="38"/>
    <x v="1"/>
    <x v="181"/>
    <n v="29.6"/>
  </r>
  <r>
    <x v="38"/>
    <x v="2"/>
    <x v="185"/>
    <n v="35.700000000000003"/>
  </r>
  <r>
    <x v="38"/>
    <x v="3"/>
    <x v="186"/>
    <n v="35.1"/>
  </r>
  <r>
    <x v="38"/>
    <x v="4"/>
    <x v="187"/>
    <n v="34.9"/>
  </r>
  <r>
    <x v="38"/>
    <x v="5"/>
    <x v="66"/>
    <n v="34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s v="Secondary 1"/>
    <n v="1129"/>
    <n v="34.5"/>
  </r>
  <r>
    <x v="0"/>
    <s v="Secondary 2"/>
    <n v="1272"/>
    <n v="35.4"/>
  </r>
  <r>
    <x v="0"/>
    <s v="Secondary 3"/>
    <n v="1424"/>
    <n v="26"/>
  </r>
  <r>
    <x v="0"/>
    <s v="Secondary 4"/>
    <n v="1026"/>
    <n v="34.5"/>
  </r>
  <r>
    <x v="0"/>
    <s v="Secondary 5"/>
    <n v="0"/>
    <n v="0"/>
  </r>
  <r>
    <x v="1"/>
    <s v="Secondary 1"/>
    <n v="1036"/>
    <n v="36.299999999999997"/>
  </r>
  <r>
    <x v="1"/>
    <s v="Secondary 2"/>
    <n v="1072"/>
    <n v="35.9"/>
  </r>
  <r>
    <x v="1"/>
    <s v="Secondary 3"/>
    <n v="1459"/>
    <n v="31.2"/>
  </r>
  <r>
    <x v="1"/>
    <s v="Secondary 4"/>
    <n v="1183"/>
    <n v="33.5"/>
  </r>
  <r>
    <x v="1"/>
    <s v="Secondary 5"/>
    <n v="0"/>
    <n v="0"/>
  </r>
  <r>
    <x v="2"/>
    <s v="Secondary 1"/>
    <n v="1000"/>
    <n v="37.6"/>
  </r>
  <r>
    <x v="2"/>
    <s v="Secondary 2"/>
    <n v="1044"/>
    <n v="36.799999999999997"/>
  </r>
  <r>
    <x v="2"/>
    <s v="Secondary 3"/>
    <n v="1265"/>
    <n v="30.8"/>
  </r>
  <r>
    <x v="2"/>
    <s v="Secondary 4"/>
    <n v="1581"/>
    <n v="31.3"/>
  </r>
  <r>
    <x v="2"/>
    <s v="Secondary 5"/>
    <n v="0"/>
    <n v="0"/>
  </r>
  <r>
    <x v="3"/>
    <s v="Secondary 1"/>
    <n v="1111"/>
    <n v="38"/>
  </r>
  <r>
    <x v="3"/>
    <s v="Secondary 2"/>
    <n v="1021"/>
    <n v="36.6"/>
  </r>
  <r>
    <x v="3"/>
    <s v="Secondary 3"/>
    <n v="1173"/>
    <n v="32.5"/>
  </r>
  <r>
    <x v="3"/>
    <s v="Secondary 4"/>
    <n v="1429"/>
    <n v="29.3"/>
  </r>
  <r>
    <x v="3"/>
    <s v="Secondary 5"/>
    <n v="252"/>
    <n v="15.6"/>
  </r>
  <r>
    <x v="4"/>
    <s v="Secondary 1"/>
    <n v="1101"/>
    <n v="37.5"/>
  </r>
  <r>
    <x v="4"/>
    <s v="Secondary 2"/>
    <n v="1133"/>
    <n v="36.9"/>
  </r>
  <r>
    <x v="4"/>
    <s v="Secondary 3"/>
    <n v="1129"/>
    <n v="33.200000000000003"/>
  </r>
  <r>
    <x v="4"/>
    <s v="Secondary 4"/>
    <n v="1296"/>
    <n v="30.7"/>
  </r>
  <r>
    <x v="4"/>
    <s v="Secondary 5"/>
    <n v="502"/>
    <n v="26.3"/>
  </r>
  <r>
    <x v="5"/>
    <s v="Secondary 1"/>
    <n v="1063"/>
    <n v="36.700000000000003"/>
  </r>
  <r>
    <x v="5"/>
    <s v="Secondary 2"/>
    <n v="1117"/>
    <n v="36.6"/>
  </r>
  <r>
    <x v="5"/>
    <s v="Secondary 3"/>
    <n v="1237"/>
    <n v="33.700000000000003"/>
  </r>
  <r>
    <x v="5"/>
    <s v="Secondary 4"/>
    <n v="1269"/>
    <n v="30.7"/>
  </r>
  <r>
    <x v="5"/>
    <s v="Secondary 5"/>
    <n v="438"/>
    <n v="25.5"/>
  </r>
  <r>
    <x v="6"/>
    <s v="Secondary 1"/>
    <n v="1014"/>
    <n v="36.200000000000003"/>
  </r>
  <r>
    <x v="6"/>
    <s v="Secondary 2"/>
    <n v="1119"/>
    <n v="34.700000000000003"/>
  </r>
  <r>
    <x v="6"/>
    <s v="Secondary 3"/>
    <n v="1199"/>
    <n v="34"/>
  </r>
  <r>
    <x v="6"/>
    <s v="Secondary 4"/>
    <n v="1244"/>
    <n v="33.4"/>
  </r>
  <r>
    <x v="6"/>
    <s v="Secondary 5"/>
    <n v="354"/>
    <n v="29.2"/>
  </r>
  <r>
    <x v="7"/>
    <s v="Secondary 1"/>
    <n v="1074"/>
    <n v="35.4"/>
  </r>
  <r>
    <x v="7"/>
    <s v="Secondary 2"/>
    <n v="1069"/>
    <n v="34"/>
  </r>
  <r>
    <x v="7"/>
    <s v="Secondary 3"/>
    <n v="1217"/>
    <n v="31.9"/>
  </r>
  <r>
    <x v="7"/>
    <s v="Secondary 4"/>
    <n v="1321"/>
    <n v="31.1"/>
  </r>
  <r>
    <x v="7"/>
    <s v="Secondary 5"/>
    <n v="374"/>
    <n v="30.6"/>
  </r>
  <r>
    <x v="8"/>
    <s v="Secondary 1"/>
    <n v="1006"/>
    <n v="35.5"/>
  </r>
  <r>
    <x v="8"/>
    <s v="Secondary 2"/>
    <n v="1125"/>
    <n v="33.6"/>
  </r>
  <r>
    <x v="8"/>
    <s v="Secondary 3"/>
    <n v="1154"/>
    <n v="31.5"/>
  </r>
  <r>
    <x v="8"/>
    <s v="Secondary 4"/>
    <n v="1254"/>
    <n v="31.2"/>
  </r>
  <r>
    <x v="8"/>
    <s v="Secondary 5"/>
    <n v="390"/>
    <n v="29.6"/>
  </r>
  <r>
    <x v="9"/>
    <s v="Secondary 1"/>
    <n v="994"/>
    <n v="35.4"/>
  </r>
  <r>
    <x v="9"/>
    <s v="Secondary 2"/>
    <n v="1058"/>
    <n v="33.700000000000003"/>
  </r>
  <r>
    <x v="9"/>
    <s v="Secondary 3"/>
    <n v="1218"/>
    <n v="31.2"/>
  </r>
  <r>
    <x v="9"/>
    <s v="Secondary 4"/>
    <n v="1196"/>
    <n v="30.6"/>
  </r>
  <r>
    <x v="9"/>
    <s v="Secondary 5"/>
    <n v="391"/>
    <n v="29"/>
  </r>
  <r>
    <x v="10"/>
    <s v="Secondary 1"/>
    <n v="1041"/>
    <n v="35.1"/>
  </r>
  <r>
    <x v="10"/>
    <s v="Secondary 2"/>
    <n v="1057"/>
    <n v="33.299999999999997"/>
  </r>
  <r>
    <x v="10"/>
    <s v="Secondary 3"/>
    <n v="1190"/>
    <n v="30.1"/>
  </r>
  <r>
    <x v="10"/>
    <s v="Secondary 4"/>
    <n v="1247"/>
    <n v="30.4"/>
  </r>
  <r>
    <x v="10"/>
    <s v="Secondary 5"/>
    <n v="382"/>
    <n v="27.5"/>
  </r>
  <r>
    <x v="11"/>
    <s v="Secondary 1"/>
    <n v="1040"/>
    <n v="35.299999999999997"/>
  </r>
  <r>
    <x v="11"/>
    <s v="Secondary 2"/>
    <n v="1093"/>
    <n v="33.299999999999997"/>
  </r>
  <r>
    <x v="11"/>
    <s v="Secondary 3"/>
    <n v="1159"/>
    <n v="30.8"/>
  </r>
  <r>
    <x v="11"/>
    <s v="Secondary 4"/>
    <n v="1210"/>
    <n v="29.2"/>
  </r>
  <r>
    <x v="11"/>
    <s v="Secondary 5"/>
    <n v="396"/>
    <n v="28.1"/>
  </r>
  <r>
    <x v="12"/>
    <s v="Secondary 1"/>
    <n v="1462"/>
    <n v="37.299999999999997"/>
  </r>
  <r>
    <x v="12"/>
    <s v="Secondary 2"/>
    <n v="1018"/>
    <n v="36.1"/>
  </r>
  <r>
    <x v="12"/>
    <s v="Secondary 3"/>
    <n v="1092"/>
    <n v="33.9"/>
  </r>
  <r>
    <x v="12"/>
    <s v="Secondary 4"/>
    <n v="1097"/>
    <n v="32.299999999999997"/>
  </r>
  <r>
    <x v="12"/>
    <s v="Secondary 5"/>
    <n v="371"/>
    <n v="27.4"/>
  </r>
  <r>
    <x v="13"/>
    <s v="Secondary 1"/>
    <n v="1176"/>
    <n v="37"/>
  </r>
  <r>
    <x v="13"/>
    <s v="Secondary 2"/>
    <n v="1494"/>
    <n v="36.1"/>
  </r>
  <r>
    <x v="13"/>
    <s v="Secondary 3"/>
    <n v="1056"/>
    <n v="35.4"/>
  </r>
  <r>
    <x v="13"/>
    <s v="Secondary 4"/>
    <n v="1107"/>
    <n v="32.700000000000003"/>
  </r>
  <r>
    <x v="13"/>
    <s v="Secondary 5"/>
    <n v="357"/>
    <n v="27.8"/>
  </r>
  <r>
    <x v="14"/>
    <s v="Secondary 1"/>
    <n v="1119"/>
    <n v="36.5"/>
  </r>
  <r>
    <x v="14"/>
    <s v="Secondary 2"/>
    <n v="1218"/>
    <n v="35.9"/>
  </r>
  <r>
    <x v="14"/>
    <s v="Secondary 3"/>
    <n v="1521"/>
    <n v="35.1"/>
  </r>
  <r>
    <x v="14"/>
    <s v="Secondary 4"/>
    <n v="1053"/>
    <n v="34.5"/>
  </r>
  <r>
    <x v="14"/>
    <s v="Secondary 5"/>
    <n v="370"/>
    <n v="28.1"/>
  </r>
  <r>
    <x v="15"/>
    <s v="Secondary 1"/>
    <n v="1124"/>
    <n v="37"/>
  </r>
  <r>
    <x v="15"/>
    <s v="Secondary 2"/>
    <n v="1154"/>
    <n v="35.5"/>
  </r>
  <r>
    <x v="15"/>
    <s v="Secondary 3"/>
    <n v="1280"/>
    <n v="34.9"/>
  </r>
  <r>
    <x v="15"/>
    <s v="Secondary 4"/>
    <n v="1516"/>
    <n v="33.299999999999997"/>
  </r>
  <r>
    <x v="15"/>
    <s v="Secondary 5"/>
    <n v="343"/>
    <n v="28.4"/>
  </r>
  <r>
    <x v="16"/>
    <s v="Secondary 1"/>
    <n v="1132"/>
    <n v="37.4"/>
  </r>
  <r>
    <x v="16"/>
    <s v="Secondary 2"/>
    <n v="1165"/>
    <n v="35.700000000000003"/>
  </r>
  <r>
    <x v="16"/>
    <s v="Secondary 3"/>
    <n v="1216"/>
    <n v="34.4"/>
  </r>
  <r>
    <x v="16"/>
    <s v="Secondary 4"/>
    <n v="1299"/>
    <n v="32.799999999999997"/>
  </r>
  <r>
    <x v="16"/>
    <s v="Secondary 5"/>
    <n v="405"/>
    <n v="26"/>
  </r>
  <r>
    <x v="17"/>
    <s v="Secondary 1"/>
    <n v="1056"/>
    <n v="36.9"/>
  </r>
  <r>
    <x v="17"/>
    <s v="Secondary 2"/>
    <n v="1166"/>
    <n v="36.5"/>
  </r>
  <r>
    <x v="17"/>
    <s v="Secondary 3"/>
    <n v="1233"/>
    <n v="35"/>
  </r>
  <r>
    <x v="17"/>
    <s v="Secondary 4"/>
    <n v="1224"/>
    <n v="32.700000000000003"/>
  </r>
  <r>
    <x v="17"/>
    <s v="Secondary 5"/>
    <n v="309"/>
    <n v="26.8"/>
  </r>
  <r>
    <x v="18"/>
    <s v="Secondary 1"/>
    <n v="1174"/>
    <n v="37.9"/>
  </r>
  <r>
    <x v="18"/>
    <s v="Secondary 2"/>
    <n v="1083"/>
    <n v="36.1"/>
  </r>
  <r>
    <x v="18"/>
    <s v="Secondary 3"/>
    <n v="1237"/>
    <n v="35.4"/>
  </r>
  <r>
    <x v="18"/>
    <s v="Secondary 4"/>
    <n v="1229"/>
    <n v="33.6"/>
  </r>
  <r>
    <x v="18"/>
    <s v="Secondary 5"/>
    <n v="265"/>
    <n v="28.1"/>
  </r>
  <r>
    <x v="19"/>
    <s v="Secondary 1"/>
    <n v="1378"/>
    <n v="38.6"/>
  </r>
  <r>
    <x v="19"/>
    <s v="Secondary 2"/>
    <n v="1212"/>
    <n v="36.799999999999997"/>
  </r>
  <r>
    <x v="19"/>
    <s v="Secondary 3"/>
    <n v="1159"/>
    <n v="34.799999999999997"/>
  </r>
  <r>
    <x v="19"/>
    <s v="Secondary 4"/>
    <n v="1229"/>
    <n v="34"/>
  </r>
  <r>
    <x v="19"/>
    <s v="Secondary 5"/>
    <n v="257"/>
    <n v="30.9"/>
  </r>
  <r>
    <x v="20"/>
    <s v="Secondary 1"/>
    <n v="1276"/>
    <n v="38.700000000000003"/>
  </r>
  <r>
    <x v="20"/>
    <s v="Secondary 2"/>
    <n v="1414"/>
    <n v="37.799999999999997"/>
  </r>
  <r>
    <x v="20"/>
    <s v="Secondary 3"/>
    <n v="1279"/>
    <n v="35.799999999999997"/>
  </r>
  <r>
    <x v="20"/>
    <s v="Secondary 4"/>
    <n v="1148"/>
    <n v="33.1"/>
  </r>
  <r>
    <x v="20"/>
    <s v="Secondary 5"/>
    <n v="264"/>
    <n v="30.9"/>
  </r>
  <r>
    <x v="21"/>
    <s v="Secondary 1"/>
    <n v="1351"/>
    <n v="38.5"/>
  </r>
  <r>
    <x v="21"/>
    <s v="Secondary 2"/>
    <n v="1303"/>
    <n v="37.9"/>
  </r>
  <r>
    <x v="21"/>
    <s v="Secondary 3"/>
    <n v="1489"/>
    <n v="36.700000000000003"/>
  </r>
  <r>
    <x v="21"/>
    <s v="Secondary 4"/>
    <n v="1266"/>
    <n v="34.1"/>
  </r>
  <r>
    <x v="21"/>
    <s v="Secondary 5"/>
    <n v="241"/>
    <n v="30.3"/>
  </r>
  <r>
    <x v="22"/>
    <s v="Secondary 1"/>
    <n v="1313"/>
    <n v="38.4"/>
  </r>
  <r>
    <x v="22"/>
    <s v="Secondary 2"/>
    <n v="1378"/>
    <n v="37.799999999999997"/>
  </r>
  <r>
    <x v="22"/>
    <s v="Secondary 3"/>
    <n v="1397"/>
    <n v="36.5"/>
  </r>
  <r>
    <x v="22"/>
    <s v="Secondary 4"/>
    <n v="1470"/>
    <n v="35.299999999999997"/>
  </r>
  <r>
    <x v="22"/>
    <s v="Secondary 5"/>
    <n v="263"/>
    <n v="30.8"/>
  </r>
  <r>
    <x v="23"/>
    <s v="Secondary 1"/>
    <n v="1335"/>
    <n v="37.6"/>
  </r>
  <r>
    <x v="23"/>
    <s v="Secondary 2"/>
    <n v="1339"/>
    <n v="38"/>
  </r>
  <r>
    <x v="23"/>
    <s v="Secondary 3"/>
    <n v="1473"/>
    <n v="36.6"/>
  </r>
  <r>
    <x v="23"/>
    <s v="Secondary 4"/>
    <n v="1383"/>
    <n v="35"/>
  </r>
  <r>
    <x v="23"/>
    <s v="Secondary 5"/>
    <n v="307"/>
    <n v="31.3"/>
  </r>
  <r>
    <x v="24"/>
    <s v="Secondary 1"/>
    <n v="1340"/>
    <n v="37.9"/>
  </r>
  <r>
    <x v="24"/>
    <s v="Secondary 2"/>
    <n v="1360"/>
    <n v="37.4"/>
  </r>
  <r>
    <x v="24"/>
    <s v="Secondary 3"/>
    <n v="1454"/>
    <n v="36.5"/>
  </r>
  <r>
    <x v="24"/>
    <s v="Secondary 4"/>
    <n v="1462"/>
    <n v="35.200000000000003"/>
  </r>
  <r>
    <x v="24"/>
    <s v="Secondary 5"/>
    <n v="288"/>
    <n v="31.3"/>
  </r>
  <r>
    <x v="25"/>
    <s v="Secondary 1"/>
    <n v="1338"/>
    <n v="37.9"/>
  </r>
  <r>
    <x v="25"/>
    <s v="Secondary 2"/>
    <n v="1382"/>
    <n v="37.6"/>
  </r>
  <r>
    <x v="25"/>
    <s v="Secondary 3"/>
    <n v="1454"/>
    <n v="36.9"/>
  </r>
  <r>
    <x v="25"/>
    <s v="Secondary 4"/>
    <n v="1457"/>
    <n v="35.4"/>
  </r>
  <r>
    <x v="25"/>
    <s v="Secondary 5"/>
    <n v="305"/>
    <n v="33.299999999999997"/>
  </r>
  <r>
    <x v="26"/>
    <s v="Secondary 1"/>
    <n v="1337"/>
    <n v="37.6"/>
  </r>
  <r>
    <x v="26"/>
    <s v="Secondary 2"/>
    <n v="1383"/>
    <n v="37.5"/>
  </r>
  <r>
    <x v="26"/>
    <s v="Secondary 3"/>
    <n v="1475"/>
    <n v="37"/>
  </r>
  <r>
    <x v="26"/>
    <s v="Secondary 4"/>
    <n v="1445"/>
    <n v="35.200000000000003"/>
  </r>
  <r>
    <x v="26"/>
    <s v="Secondary 5"/>
    <n v="294"/>
    <n v="32.5"/>
  </r>
  <r>
    <x v="27"/>
    <s v="Secondary 1"/>
    <n v="1339"/>
    <n v="37"/>
  </r>
  <r>
    <x v="27"/>
    <s v="Secondary 2"/>
    <n v="1366"/>
    <n v="37"/>
  </r>
  <r>
    <x v="27"/>
    <s v="Secondary 3"/>
    <n v="1464"/>
    <n v="37"/>
  </r>
  <r>
    <x v="27"/>
    <s v="Secondary 4"/>
    <n v="1482"/>
    <n v="35"/>
  </r>
  <r>
    <x v="27"/>
    <s v="Secondary 5"/>
    <n v="294"/>
    <n v="32"/>
  </r>
  <r>
    <x v="28"/>
    <s v="Secondary 1"/>
    <n v="1302"/>
    <n v="37.4"/>
  </r>
  <r>
    <x v="28"/>
    <s v="Secondary 2"/>
    <n v="1356"/>
    <n v="37.6"/>
  </r>
  <r>
    <x v="28"/>
    <s v="Secondary 3"/>
    <n v="1455"/>
    <n v="36.5"/>
  </r>
  <r>
    <x v="28"/>
    <s v="Secondary 4"/>
    <n v="1469"/>
    <n v="35.4"/>
  </r>
  <r>
    <x v="28"/>
    <s v="Secondary 5"/>
    <n v="283"/>
    <n v="33.700000000000003"/>
  </r>
  <r>
    <x v="29"/>
    <s v="Secondary 1"/>
    <n v="1227"/>
    <n v="36.799999999999997"/>
  </r>
  <r>
    <x v="29"/>
    <s v="Secondary 2"/>
    <n v="1321"/>
    <n v="37.4"/>
  </r>
  <r>
    <x v="29"/>
    <s v="Secondary 3"/>
    <n v="1455"/>
    <n v="36.4"/>
  </r>
  <r>
    <x v="29"/>
    <s v="Secondary 4"/>
    <n v="1447"/>
    <n v="35.4"/>
  </r>
  <r>
    <x v="29"/>
    <s v="Secondary 5"/>
    <n v="284"/>
    <n v="32.299999999999997"/>
  </r>
  <r>
    <x v="30"/>
    <s v="Secondary 1"/>
    <n v="1240"/>
    <n v="36.5"/>
  </r>
  <r>
    <x v="30"/>
    <s v="Secondary 2"/>
    <n v="1242"/>
    <n v="36.799999999999997"/>
  </r>
  <r>
    <x v="30"/>
    <s v="Secondary 3"/>
    <n v="1410"/>
    <n v="36"/>
  </r>
  <r>
    <x v="30"/>
    <s v="Secondary 4"/>
    <n v="1459"/>
    <n v="35.200000000000003"/>
  </r>
  <r>
    <x v="30"/>
    <s v="Secondary 5"/>
    <n v="287"/>
    <n v="33.1"/>
  </r>
  <r>
    <x v="31"/>
    <s v="Secondary 1"/>
    <n v="1307"/>
    <n v="36.799999999999997"/>
  </r>
  <r>
    <x v="31"/>
    <s v="Secondary 2"/>
    <n v="1255"/>
    <n v="36.299999999999997"/>
  </r>
  <r>
    <x v="31"/>
    <s v="Secondary 3"/>
    <n v="1323"/>
    <n v="35.299999999999997"/>
  </r>
  <r>
    <x v="31"/>
    <s v="Secondary 4"/>
    <n v="1412"/>
    <n v="34.799999999999997"/>
  </r>
  <r>
    <x v="31"/>
    <s v="Secondary 5"/>
    <n v="277"/>
    <n v="27.5"/>
  </r>
  <r>
    <x v="32"/>
    <s v="Secondary 1"/>
    <n v="1211"/>
    <n v="35.5"/>
  </r>
  <r>
    <x v="32"/>
    <s v="Secondary 2"/>
    <n v="1324"/>
    <n v="36.5"/>
  </r>
  <r>
    <x v="32"/>
    <s v="Secondary 3"/>
    <n v="1342"/>
    <n v="34.799999999999997"/>
  </r>
  <r>
    <x v="32"/>
    <s v="Secondary 4"/>
    <n v="1331"/>
    <n v="33.9"/>
  </r>
  <r>
    <x v="32"/>
    <s v="Secondary 5"/>
    <n v="271"/>
    <n v="25.1"/>
  </r>
  <r>
    <x v="33"/>
    <s v="Secondary 1"/>
    <n v="1191"/>
    <n v="35.4"/>
  </r>
  <r>
    <x v="33"/>
    <s v="Secondary 2"/>
    <n v="1228"/>
    <n v="35.200000000000003"/>
  </r>
  <r>
    <x v="33"/>
    <s v="Secondary 3"/>
    <n v="1408"/>
    <n v="34.9"/>
  </r>
  <r>
    <x v="33"/>
    <s v="Secondary 4"/>
    <n v="1353"/>
    <n v="33.6"/>
  </r>
  <r>
    <x v="33"/>
    <s v="Secondary 5"/>
    <n v="245"/>
    <n v="23.5"/>
  </r>
  <r>
    <x v="34"/>
    <s v="Secondary 1"/>
    <n v="1117"/>
    <n v="35.4"/>
  </r>
  <r>
    <x v="34"/>
    <s v="Secondary 2"/>
    <n v="1197"/>
    <n v="35.5"/>
  </r>
  <r>
    <x v="34"/>
    <s v="Secondary 3"/>
    <n v="1303"/>
    <n v="34"/>
  </r>
  <r>
    <x v="34"/>
    <s v="Secondary 4"/>
    <n v="1422"/>
    <n v="33.700000000000003"/>
  </r>
  <r>
    <x v="34"/>
    <s v="Secondary 5"/>
    <n v="240"/>
    <n v="23.4"/>
  </r>
  <r>
    <x v="35"/>
    <s v="Secondary 1"/>
    <n v="1087"/>
    <n v="35.9"/>
  </r>
  <r>
    <x v="35"/>
    <s v="Secondary 2"/>
    <n v="1132"/>
    <n v="35.1"/>
  </r>
  <r>
    <x v="35"/>
    <s v="Secondary 3"/>
    <n v="1280"/>
    <n v="33.9"/>
  </r>
  <r>
    <x v="35"/>
    <s v="Secondary 4"/>
    <n v="1320"/>
    <n v="32.6"/>
  </r>
  <r>
    <x v="35"/>
    <s v="Secondary 5"/>
    <n v="241"/>
    <n v="25"/>
  </r>
  <r>
    <x v="36"/>
    <s v="Secondary 1"/>
    <n v="1087"/>
    <n v="36"/>
  </r>
  <r>
    <x v="36"/>
    <s v="Secondary 2"/>
    <n v="1105"/>
    <n v="35.299999999999997"/>
  </r>
  <r>
    <x v="36"/>
    <s v="Secondary 3"/>
    <n v="1216"/>
    <n v="33.299999999999997"/>
  </r>
  <r>
    <x v="36"/>
    <s v="Secondary 4"/>
    <n v="1288"/>
    <n v="32.799999999999997"/>
  </r>
  <r>
    <x v="36"/>
    <s v="Secondary 5"/>
    <n v="194"/>
    <n v="21.8"/>
  </r>
  <r>
    <x v="37"/>
    <s v="Secondary 1"/>
    <n v="1131"/>
    <n v="35"/>
  </r>
  <r>
    <x v="37"/>
    <s v="Secondary 2"/>
    <n v="1113"/>
    <n v="35.200000000000003"/>
  </r>
  <r>
    <x v="37"/>
    <s v="Secondary 3"/>
    <n v="1207"/>
    <n v="32.9"/>
  </r>
  <r>
    <x v="37"/>
    <s v="Secondary 4"/>
    <n v="1237"/>
    <n v="31.9"/>
  </r>
  <r>
    <x v="37"/>
    <s v="Secondary 5"/>
    <n v="189"/>
    <n v="20.2"/>
  </r>
  <r>
    <x v="38"/>
    <s v="Secondary 1"/>
    <n v="1158"/>
    <n v="34.700000000000003"/>
  </r>
  <r>
    <x v="38"/>
    <s v="Secondary 2"/>
    <n v="1152"/>
    <n v="34.5"/>
  </r>
  <r>
    <x v="38"/>
    <s v="Secondary 3"/>
    <n v="1204"/>
    <n v="33.1"/>
  </r>
  <r>
    <x v="38"/>
    <s v="Secondary 4"/>
    <n v="1210"/>
    <n v="32.1"/>
  </r>
  <r>
    <x v="38"/>
    <s v="Secondary 5"/>
    <n v="177"/>
    <n v="19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7E1DD-FDF9-4620-B5FF-557CC4191812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18:V58" firstHeaderRow="1" firstDataRow="1" firstDataCol="1"/>
  <pivotFields count="4">
    <pivotField axis="axisRow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/>
    <pivotField dataField="1" showAll="0"/>
    <pivotField showAl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dataFields count="1">
    <dataField name="Sum of no_of_classe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AA046E-D5B9-4240-B217-80D128D5E3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18:S58" firstHeaderRow="1" firstDataRow="1" firstDataCol="1"/>
  <pivotFields count="4">
    <pivotField axis="axisRow" showAll="0" sortType="ascending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89">
        <item x="55"/>
        <item x="12"/>
        <item x="56"/>
        <item x="61"/>
        <item x="18"/>
        <item x="41"/>
        <item x="47"/>
        <item x="52"/>
        <item x="67"/>
        <item x="51"/>
        <item x="25"/>
        <item x="19"/>
        <item x="7"/>
        <item x="182"/>
        <item x="31"/>
        <item x="29"/>
        <item x="14"/>
        <item x="74"/>
        <item x="153"/>
        <item x="24"/>
        <item x="186"/>
        <item x="185"/>
        <item x="50"/>
        <item x="30"/>
        <item x="157"/>
        <item x="0"/>
        <item x="63"/>
        <item x="57"/>
        <item x="178"/>
        <item x="34"/>
        <item x="158"/>
        <item x="62"/>
        <item x="174"/>
        <item x="43"/>
        <item x="53"/>
        <item x="42"/>
        <item x="37"/>
        <item x="6"/>
        <item x="81"/>
        <item x="48"/>
        <item x="170"/>
        <item x="166"/>
        <item x="163"/>
        <item x="169"/>
        <item x="171"/>
        <item x="32"/>
        <item x="8"/>
        <item x="68"/>
        <item x="179"/>
        <item x="13"/>
        <item x="167"/>
        <item x="187"/>
        <item x="60"/>
        <item x="175"/>
        <item x="176"/>
        <item x="148"/>
        <item x="35"/>
        <item x="1"/>
        <item x="20"/>
        <item x="69"/>
        <item x="21"/>
        <item x="44"/>
        <item x="36"/>
        <item x="46"/>
        <item x="66"/>
        <item x="40"/>
        <item x="180"/>
        <item x="154"/>
        <item x="39"/>
        <item x="88"/>
        <item x="27"/>
        <item x="38"/>
        <item x="149"/>
        <item x="49"/>
        <item x="45"/>
        <item x="73"/>
        <item x="130"/>
        <item x="183"/>
        <item x="33"/>
        <item x="75"/>
        <item x="159"/>
        <item x="80"/>
        <item x="155"/>
        <item x="134"/>
        <item x="135"/>
        <item x="164"/>
        <item x="70"/>
        <item x="15"/>
        <item x="140"/>
        <item x="26"/>
        <item x="160"/>
        <item x="141"/>
        <item x="87"/>
        <item x="76"/>
        <item x="115"/>
        <item x="71"/>
        <item x="119"/>
        <item x="82"/>
        <item x="22"/>
        <item x="2"/>
        <item x="28"/>
        <item x="78"/>
        <item x="145"/>
        <item x="131"/>
        <item x="151"/>
        <item x="139"/>
        <item x="112"/>
        <item x="85"/>
        <item x="64"/>
        <item x="120"/>
        <item x="106"/>
        <item x="93"/>
        <item x="177"/>
        <item x="144"/>
        <item x="100"/>
        <item x="172"/>
        <item x="107"/>
        <item x="184"/>
        <item x="121"/>
        <item x="83"/>
        <item x="89"/>
        <item x="94"/>
        <item x="126"/>
        <item x="150"/>
        <item x="108"/>
        <item x="102"/>
        <item x="101"/>
        <item x="95"/>
        <item x="77"/>
        <item x="91"/>
        <item x="109"/>
        <item x="152"/>
        <item x="146"/>
        <item x="96"/>
        <item x="9"/>
        <item x="58"/>
        <item x="84"/>
        <item x="142"/>
        <item x="147"/>
        <item x="173"/>
        <item x="168"/>
        <item x="122"/>
        <item x="103"/>
        <item x="16"/>
        <item x="162"/>
        <item x="65"/>
        <item x="98"/>
        <item x="156"/>
        <item x="23"/>
        <item x="113"/>
        <item x="165"/>
        <item x="136"/>
        <item x="90"/>
        <item x="110"/>
        <item x="116"/>
        <item x="181"/>
        <item x="97"/>
        <item x="72"/>
        <item x="132"/>
        <item x="161"/>
        <item x="79"/>
        <item x="127"/>
        <item x="105"/>
        <item x="86"/>
        <item x="123"/>
        <item x="117"/>
        <item x="104"/>
        <item x="143"/>
        <item x="114"/>
        <item x="137"/>
        <item x="4"/>
        <item x="11"/>
        <item x="138"/>
        <item x="17"/>
        <item x="3"/>
        <item x="10"/>
        <item x="92"/>
        <item x="111"/>
        <item x="118"/>
        <item x="125"/>
        <item x="124"/>
        <item x="129"/>
        <item x="54"/>
        <item x="99"/>
        <item x="59"/>
        <item x="128"/>
        <item x="133"/>
        <item x="5"/>
        <item t="default"/>
      </items>
    </pivotField>
    <pivotField showAl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dataFields count="1">
    <dataField name="Sum of no_of_classes" fld="2" baseField="0" baseItem="0" numFmtId="166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29" Type="http://schemas.openxmlformats.org/officeDocument/2006/relationships/ctrlProp" Target="../ctrlProps/ctrlProp4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31" Type="http://schemas.openxmlformats.org/officeDocument/2006/relationships/ctrlProp" Target="../ctrlProps/ctrlProp47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8DDB-1ABC-4C5B-A77E-AEDDAD5F94E7}">
  <dimension ref="A1:AK251"/>
  <sheetViews>
    <sheetView showGridLines="0" topLeftCell="F1" workbookViewId="0">
      <selection activeCell="U18" sqref="U18:V58"/>
    </sheetView>
  </sheetViews>
  <sheetFormatPr defaultRowHeight="14.5" x14ac:dyDescent="0.35"/>
  <cols>
    <col min="1" max="1" width="18.453125" bestFit="1" customWidth="1"/>
    <col min="14" max="14" width="10.90625" bestFit="1" customWidth="1"/>
    <col min="17" max="17" width="11.1796875" bestFit="1" customWidth="1"/>
  </cols>
  <sheetData>
    <row r="1" spans="1:37" x14ac:dyDescent="0.35">
      <c r="A1" s="2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27</v>
      </c>
      <c r="X1" s="2" t="s">
        <v>28</v>
      </c>
      <c r="Y1" s="2" t="s">
        <v>29</v>
      </c>
      <c r="Z1" s="2" t="s">
        <v>30</v>
      </c>
      <c r="AA1" s="2" t="s">
        <v>31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37</v>
      </c>
      <c r="AH1" s="2" t="s">
        <v>38</v>
      </c>
      <c r="AI1" s="2" t="s">
        <v>39</v>
      </c>
      <c r="AJ1" s="2" t="s">
        <v>40</v>
      </c>
      <c r="AK1" s="2" t="s">
        <v>41</v>
      </c>
    </row>
    <row r="2" spans="1:37" x14ac:dyDescent="0.35">
      <c r="A2" s="4" t="s">
        <v>21</v>
      </c>
      <c r="B2" s="3">
        <v>361</v>
      </c>
      <c r="C2" s="3">
        <v>360</v>
      </c>
      <c r="D2" s="3">
        <v>373</v>
      </c>
      <c r="E2" s="3">
        <v>376</v>
      </c>
      <c r="F2" s="3">
        <v>382</v>
      </c>
      <c r="G2" s="3">
        <v>383</v>
      </c>
      <c r="H2" s="3">
        <v>386</v>
      </c>
      <c r="I2" s="3">
        <v>381</v>
      </c>
      <c r="J2" s="3">
        <v>373</v>
      </c>
      <c r="K2" s="3">
        <v>371</v>
      </c>
      <c r="L2" s="3">
        <v>371</v>
      </c>
      <c r="M2" s="3">
        <v>368</v>
      </c>
      <c r="N2" s="3">
        <v>370</v>
      </c>
      <c r="O2" s="3">
        <v>365</v>
      </c>
      <c r="P2" s="3">
        <v>368</v>
      </c>
      <c r="Q2" s="3">
        <v>369</v>
      </c>
      <c r="R2" s="3">
        <v>376</v>
      </c>
      <c r="S2" s="3">
        <v>380</v>
      </c>
      <c r="T2" s="3">
        <v>384</v>
      </c>
      <c r="U2" s="3">
        <v>397</v>
      </c>
      <c r="V2" s="3">
        <v>399</v>
      </c>
      <c r="W2" s="3">
        <v>384</v>
      </c>
      <c r="X2" s="3">
        <v>376</v>
      </c>
      <c r="Y2" s="3">
        <v>378</v>
      </c>
      <c r="Z2" s="3">
        <v>382</v>
      </c>
      <c r="AA2" s="3">
        <v>390</v>
      </c>
      <c r="AB2" s="3">
        <v>388</v>
      </c>
      <c r="AC2" s="3">
        <v>383</v>
      </c>
      <c r="AD2" s="3">
        <v>386</v>
      </c>
      <c r="AE2" s="3">
        <v>412</v>
      </c>
      <c r="AF2" s="3">
        <v>422</v>
      </c>
      <c r="AG2" s="3">
        <v>425</v>
      </c>
      <c r="AH2" s="3">
        <v>430</v>
      </c>
      <c r="AI2" s="3">
        <v>433</v>
      </c>
      <c r="AJ2" s="3">
        <v>430</v>
      </c>
      <c r="AK2" s="3">
        <v>438</v>
      </c>
    </row>
    <row r="3" spans="1:37" x14ac:dyDescent="0.35">
      <c r="A3" s="5" t="s">
        <v>22</v>
      </c>
      <c r="B3" s="6">
        <v>180</v>
      </c>
      <c r="C3" s="6">
        <v>179</v>
      </c>
      <c r="D3" s="6">
        <v>186</v>
      </c>
      <c r="E3" s="6">
        <v>185</v>
      </c>
      <c r="F3" s="6">
        <v>185</v>
      </c>
      <c r="G3" s="6">
        <v>182</v>
      </c>
      <c r="H3" s="6">
        <v>185</v>
      </c>
      <c r="I3" s="6">
        <v>182</v>
      </c>
      <c r="J3" s="6">
        <v>175</v>
      </c>
      <c r="K3" s="6">
        <v>174</v>
      </c>
      <c r="L3" s="6">
        <v>173</v>
      </c>
      <c r="M3" s="6">
        <v>172</v>
      </c>
      <c r="N3" s="6">
        <v>174</v>
      </c>
      <c r="O3" s="6">
        <v>170</v>
      </c>
      <c r="P3" s="6">
        <v>172</v>
      </c>
      <c r="Q3" s="6">
        <v>173</v>
      </c>
      <c r="R3" s="6">
        <v>177</v>
      </c>
      <c r="S3" s="6">
        <v>178</v>
      </c>
      <c r="T3" s="6">
        <v>183</v>
      </c>
      <c r="U3" s="6">
        <v>197</v>
      </c>
      <c r="V3" s="6">
        <v>201</v>
      </c>
      <c r="W3" s="6">
        <v>199</v>
      </c>
      <c r="X3" s="6">
        <v>193</v>
      </c>
      <c r="Y3" s="6">
        <v>196</v>
      </c>
      <c r="Z3" s="6">
        <v>197</v>
      </c>
      <c r="AA3" s="6">
        <v>198</v>
      </c>
      <c r="AB3" s="6">
        <v>193</v>
      </c>
      <c r="AC3" s="6">
        <v>192</v>
      </c>
      <c r="AD3" s="6">
        <v>193</v>
      </c>
      <c r="AE3" s="6">
        <v>201</v>
      </c>
      <c r="AF3" s="6">
        <v>207</v>
      </c>
      <c r="AG3" s="6">
        <v>211</v>
      </c>
      <c r="AH3" s="6">
        <v>220</v>
      </c>
      <c r="AI3" s="6">
        <v>229</v>
      </c>
      <c r="AJ3" s="6">
        <v>235</v>
      </c>
      <c r="AK3" s="6">
        <v>251</v>
      </c>
    </row>
    <row r="4" spans="1:37" hidden="1" x14ac:dyDescent="0.35">
      <c r="A4" s="7" t="s">
        <v>23</v>
      </c>
      <c r="B4" s="8">
        <v>136</v>
      </c>
      <c r="C4" s="8">
        <v>136</v>
      </c>
      <c r="D4" s="8">
        <v>139</v>
      </c>
      <c r="E4" s="8">
        <v>143</v>
      </c>
      <c r="F4" s="8">
        <v>150</v>
      </c>
      <c r="G4" s="8">
        <v>154</v>
      </c>
      <c r="H4" s="8">
        <v>154</v>
      </c>
      <c r="I4" s="8">
        <v>154</v>
      </c>
      <c r="J4" s="8">
        <v>154</v>
      </c>
      <c r="K4" s="8">
        <v>154</v>
      </c>
      <c r="L4" s="8">
        <v>155</v>
      </c>
      <c r="M4" s="8">
        <v>154</v>
      </c>
      <c r="N4" s="8">
        <v>154</v>
      </c>
      <c r="O4" s="8">
        <v>154</v>
      </c>
      <c r="P4" s="8">
        <v>155</v>
      </c>
      <c r="Q4" s="8">
        <v>156</v>
      </c>
      <c r="R4" s="8">
        <v>163</v>
      </c>
      <c r="S4" s="8">
        <v>165</v>
      </c>
      <c r="T4" s="8">
        <v>166</v>
      </c>
      <c r="U4" s="8">
        <v>165</v>
      </c>
      <c r="V4" s="8">
        <v>163</v>
      </c>
      <c r="W4" s="8">
        <v>152</v>
      </c>
      <c r="X4" s="8">
        <v>147</v>
      </c>
      <c r="Y4" s="8">
        <v>147</v>
      </c>
      <c r="Z4" s="8">
        <v>149</v>
      </c>
      <c r="AA4" s="8">
        <v>151</v>
      </c>
      <c r="AB4" s="8">
        <v>151</v>
      </c>
      <c r="AC4" s="8">
        <v>140</v>
      </c>
      <c r="AD4" s="8">
        <v>138</v>
      </c>
      <c r="AE4" s="8">
        <v>142</v>
      </c>
      <c r="AF4" s="8">
        <v>142</v>
      </c>
      <c r="AG4" s="8">
        <v>142</v>
      </c>
      <c r="AH4" s="8">
        <v>141</v>
      </c>
      <c r="AI4" s="8">
        <v>143</v>
      </c>
      <c r="AJ4" s="8">
        <v>140</v>
      </c>
      <c r="AK4" s="8">
        <v>134</v>
      </c>
    </row>
    <row r="5" spans="1:37" x14ac:dyDescent="0.35">
      <c r="A5" s="4" t="s">
        <v>24</v>
      </c>
      <c r="B5" s="3">
        <v>656369</v>
      </c>
      <c r="C5" s="3">
        <v>654937</v>
      </c>
      <c r="D5" s="3">
        <v>654006</v>
      </c>
      <c r="E5" s="3">
        <v>657321</v>
      </c>
      <c r="F5" s="3">
        <v>651408</v>
      </c>
      <c r="G5" s="3">
        <v>661184</v>
      </c>
      <c r="H5" s="3">
        <v>668586</v>
      </c>
      <c r="I5" s="3">
        <v>675034</v>
      </c>
      <c r="J5" s="3">
        <v>685841</v>
      </c>
      <c r="K5" s="3">
        <v>693268</v>
      </c>
      <c r="L5" s="3">
        <v>702567</v>
      </c>
      <c r="M5" s="3">
        <v>708634</v>
      </c>
      <c r="N5" s="3">
        <v>708194</v>
      </c>
      <c r="O5" s="3">
        <v>704836</v>
      </c>
      <c r="P5" s="3">
        <v>692979</v>
      </c>
      <c r="Q5" s="3">
        <v>684805</v>
      </c>
      <c r="R5" s="3">
        <v>675990</v>
      </c>
      <c r="S5" s="3">
        <v>669858</v>
      </c>
      <c r="T5" s="3">
        <v>659680</v>
      </c>
      <c r="U5" s="3">
        <v>646320</v>
      </c>
      <c r="V5" s="3">
        <v>633426</v>
      </c>
      <c r="W5" s="3">
        <v>621232</v>
      </c>
      <c r="X5" s="3">
        <v>604628</v>
      </c>
      <c r="Y5" s="3">
        <v>596675</v>
      </c>
      <c r="Z5" s="3">
        <v>575563</v>
      </c>
      <c r="AA5" s="3">
        <v>557615</v>
      </c>
      <c r="AB5" s="3">
        <v>537273</v>
      </c>
      <c r="AC5" s="3">
        <v>539260</v>
      </c>
      <c r="AD5" s="3">
        <v>536719</v>
      </c>
      <c r="AE5" s="3">
        <v>533323</v>
      </c>
      <c r="AF5" s="3">
        <v>532177</v>
      </c>
      <c r="AG5" s="3">
        <v>536348</v>
      </c>
      <c r="AH5" s="3">
        <v>535810</v>
      </c>
      <c r="AI5" s="3">
        <v>531633</v>
      </c>
      <c r="AJ5" s="3">
        <v>532684</v>
      </c>
      <c r="AK5" s="3">
        <v>524751</v>
      </c>
    </row>
    <row r="6" spans="1:37" x14ac:dyDescent="0.35">
      <c r="A6" s="5" t="s">
        <v>54</v>
      </c>
      <c r="B6" s="6">
        <v>225661</v>
      </c>
      <c r="C6" s="6">
        <v>228060</v>
      </c>
      <c r="D6" s="6">
        <v>227406</v>
      </c>
      <c r="E6" s="6">
        <v>228670</v>
      </c>
      <c r="F6" s="6">
        <v>230989</v>
      </c>
      <c r="G6" s="6">
        <v>231933</v>
      </c>
      <c r="H6" s="6">
        <v>234499</v>
      </c>
      <c r="I6" s="6">
        <v>236862</v>
      </c>
      <c r="J6" s="6">
        <v>245560</v>
      </c>
      <c r="K6" s="6">
        <v>251165</v>
      </c>
      <c r="L6" s="6">
        <v>256801</v>
      </c>
      <c r="M6" s="6">
        <v>265104</v>
      </c>
      <c r="N6" s="6">
        <v>272097</v>
      </c>
      <c r="O6" s="6">
        <v>277772</v>
      </c>
      <c r="P6" s="6">
        <v>277291</v>
      </c>
      <c r="Q6" s="6">
        <v>282793</v>
      </c>
      <c r="R6" s="6">
        <v>296419</v>
      </c>
      <c r="S6" s="6">
        <v>299939</v>
      </c>
      <c r="T6" s="6">
        <v>302501</v>
      </c>
      <c r="U6" s="6">
        <v>302566</v>
      </c>
      <c r="V6" s="6">
        <v>305705</v>
      </c>
      <c r="W6" s="6">
        <v>299959</v>
      </c>
      <c r="X6" s="6">
        <v>288228</v>
      </c>
      <c r="Y6" s="6">
        <v>280314</v>
      </c>
      <c r="Z6" s="6">
        <v>269432</v>
      </c>
      <c r="AA6" s="6">
        <v>261553</v>
      </c>
      <c r="AB6" s="6">
        <v>251005</v>
      </c>
      <c r="AC6" s="6">
        <v>261402</v>
      </c>
      <c r="AD6" s="6">
        <v>262465</v>
      </c>
      <c r="AE6" s="6">
        <v>260109</v>
      </c>
      <c r="AF6" s="6">
        <v>257757</v>
      </c>
      <c r="AG6" s="6">
        <v>257690</v>
      </c>
      <c r="AH6" s="6">
        <v>259117</v>
      </c>
      <c r="AI6" s="6">
        <v>261399</v>
      </c>
      <c r="AJ6" s="6">
        <v>268668</v>
      </c>
      <c r="AK6" s="6">
        <v>277875</v>
      </c>
    </row>
    <row r="7" spans="1:37" hidden="1" x14ac:dyDescent="0.35">
      <c r="A7" s="7" t="s">
        <v>55</v>
      </c>
      <c r="B7" s="8">
        <v>143468</v>
      </c>
      <c r="C7" s="8">
        <v>143290</v>
      </c>
      <c r="D7" s="8">
        <v>146480</v>
      </c>
      <c r="E7" s="8">
        <v>152447</v>
      </c>
      <c r="F7" s="8">
        <v>160662</v>
      </c>
      <c r="G7" s="8">
        <v>166392</v>
      </c>
      <c r="H7" s="8">
        <v>170299</v>
      </c>
      <c r="I7" s="8">
        <v>177672</v>
      </c>
      <c r="J7" s="8">
        <v>184304</v>
      </c>
      <c r="K7" s="8">
        <v>189735</v>
      </c>
      <c r="L7" s="8">
        <v>196220</v>
      </c>
      <c r="M7" s="8">
        <v>199409</v>
      </c>
      <c r="N7" s="8">
        <v>201531</v>
      </c>
      <c r="O7" s="8">
        <v>202858</v>
      </c>
      <c r="P7" s="8">
        <v>200291</v>
      </c>
      <c r="Q7" s="8">
        <v>200358</v>
      </c>
      <c r="R7" s="8">
        <v>213534</v>
      </c>
      <c r="S7" s="8">
        <v>206426</v>
      </c>
      <c r="T7" s="8">
        <v>194002</v>
      </c>
      <c r="U7" s="8">
        <v>187081</v>
      </c>
      <c r="V7" s="8">
        <v>175405</v>
      </c>
      <c r="W7" s="8">
        <v>172259</v>
      </c>
      <c r="X7" s="8">
        <v>177896</v>
      </c>
      <c r="Y7" s="8">
        <v>186752</v>
      </c>
      <c r="Z7" s="8">
        <v>183900</v>
      </c>
      <c r="AA7" s="8">
        <v>180982</v>
      </c>
      <c r="AB7" s="8">
        <v>173934</v>
      </c>
      <c r="AC7" s="8">
        <v>155296</v>
      </c>
      <c r="AD7" s="8">
        <v>155832</v>
      </c>
      <c r="AE7" s="8">
        <v>156746</v>
      </c>
      <c r="AF7" s="8">
        <v>160542</v>
      </c>
      <c r="AG7" s="8">
        <v>165829</v>
      </c>
      <c r="AH7" s="8">
        <v>168103</v>
      </c>
      <c r="AI7" s="8">
        <v>171617</v>
      </c>
      <c r="AJ7" s="8">
        <v>173538</v>
      </c>
      <c r="AK7" s="8">
        <v>163590</v>
      </c>
    </row>
    <row r="8" spans="1:37" x14ac:dyDescent="0.35">
      <c r="A8" s="4" t="s">
        <v>25</v>
      </c>
      <c r="B8" s="3">
        <v>51274</v>
      </c>
      <c r="C8" s="3">
        <v>51179</v>
      </c>
      <c r="D8" s="3">
        <v>51288</v>
      </c>
      <c r="E8" s="3">
        <v>50775</v>
      </c>
      <c r="F8" s="3">
        <v>49842</v>
      </c>
      <c r="G8" s="3">
        <v>49052</v>
      </c>
      <c r="H8" s="3">
        <v>48845</v>
      </c>
      <c r="I8" s="3">
        <v>46211</v>
      </c>
      <c r="J8" s="3">
        <v>44331</v>
      </c>
      <c r="K8" s="3">
        <v>42784</v>
      </c>
      <c r="L8" s="3">
        <v>41502</v>
      </c>
      <c r="M8" s="3">
        <v>41094</v>
      </c>
      <c r="N8" s="3">
        <v>38547</v>
      </c>
      <c r="O8" s="3">
        <v>37334</v>
      </c>
      <c r="P8" s="3">
        <v>35916</v>
      </c>
      <c r="Q8" s="3">
        <v>35233</v>
      </c>
      <c r="R8" s="3">
        <v>34169</v>
      </c>
      <c r="S8" s="3">
        <v>33085</v>
      </c>
      <c r="T8" s="3">
        <v>33500</v>
      </c>
      <c r="U8" s="3">
        <v>31967</v>
      </c>
      <c r="V8" s="3">
        <v>31515</v>
      </c>
      <c r="W8" s="3">
        <v>30145</v>
      </c>
      <c r="X8" s="3">
        <v>29150</v>
      </c>
      <c r="Y8" s="3">
        <v>29487</v>
      </c>
      <c r="Z8" s="3">
        <v>28231</v>
      </c>
      <c r="AA8" s="3">
        <v>27760</v>
      </c>
      <c r="AB8" s="3">
        <v>27299</v>
      </c>
      <c r="AC8" s="3">
        <v>26710</v>
      </c>
      <c r="AD8" s="3">
        <v>26053</v>
      </c>
      <c r="AE8" s="3">
        <v>25050</v>
      </c>
      <c r="AF8" s="3">
        <v>24702</v>
      </c>
      <c r="AG8" s="3">
        <v>24982</v>
      </c>
      <c r="AH8" s="3">
        <v>24523</v>
      </c>
      <c r="AI8" s="3">
        <v>24667</v>
      </c>
      <c r="AJ8" s="3">
        <v>24982</v>
      </c>
      <c r="AK8" s="3">
        <v>23819</v>
      </c>
    </row>
    <row r="9" spans="1:37" x14ac:dyDescent="0.35">
      <c r="A9" s="5" t="s">
        <v>56</v>
      </c>
      <c r="B9" s="6">
        <v>15682</v>
      </c>
      <c r="C9" s="6">
        <v>15436</v>
      </c>
      <c r="D9" s="6">
        <v>15364</v>
      </c>
      <c r="E9" s="6">
        <v>15183</v>
      </c>
      <c r="F9" s="6">
        <v>14997</v>
      </c>
      <c r="G9" s="6">
        <v>14566</v>
      </c>
      <c r="H9" s="6">
        <v>14343</v>
      </c>
      <c r="I9" s="6">
        <v>14442</v>
      </c>
      <c r="J9" s="6">
        <v>13979</v>
      </c>
      <c r="K9" s="6">
        <v>13586</v>
      </c>
      <c r="L9" s="6">
        <v>13318</v>
      </c>
      <c r="M9" s="6">
        <v>13493</v>
      </c>
      <c r="N9" s="6">
        <v>12723</v>
      </c>
      <c r="O9" s="6">
        <v>12472</v>
      </c>
      <c r="P9" s="6">
        <v>12268</v>
      </c>
      <c r="Q9" s="6">
        <v>12022</v>
      </c>
      <c r="R9" s="6">
        <v>12209</v>
      </c>
      <c r="S9" s="6">
        <v>12025</v>
      </c>
      <c r="T9" s="6">
        <v>12423</v>
      </c>
      <c r="U9" s="6">
        <v>12065</v>
      </c>
      <c r="V9" s="6">
        <v>11923</v>
      </c>
      <c r="W9" s="6">
        <v>11272</v>
      </c>
      <c r="X9" s="6">
        <v>10968</v>
      </c>
      <c r="Y9" s="6">
        <v>10577</v>
      </c>
      <c r="Z9" s="6">
        <v>10649</v>
      </c>
      <c r="AA9" s="6">
        <v>10479</v>
      </c>
      <c r="AB9" s="6">
        <v>10553</v>
      </c>
      <c r="AC9" s="6">
        <v>10711</v>
      </c>
      <c r="AD9" s="6">
        <v>10188</v>
      </c>
      <c r="AE9" s="6">
        <v>9843</v>
      </c>
      <c r="AF9" s="6">
        <v>10006</v>
      </c>
      <c r="AG9" s="6">
        <v>9998</v>
      </c>
      <c r="AH9" s="6">
        <v>9962</v>
      </c>
      <c r="AI9" s="6">
        <v>10190</v>
      </c>
      <c r="AJ9" s="6">
        <v>10256</v>
      </c>
      <c r="AK9" s="6">
        <v>10351</v>
      </c>
    </row>
    <row r="10" spans="1:37" hidden="1" x14ac:dyDescent="0.35">
      <c r="A10" s="7" t="s">
        <v>57</v>
      </c>
      <c r="B10" s="8">
        <v>11971</v>
      </c>
      <c r="C10" s="8">
        <v>12177</v>
      </c>
      <c r="D10" s="8">
        <v>12576</v>
      </c>
      <c r="E10" s="8">
        <v>13087</v>
      </c>
      <c r="F10" s="8">
        <v>13350</v>
      </c>
      <c r="G10" s="8">
        <v>13467</v>
      </c>
      <c r="H10" s="8">
        <v>13544</v>
      </c>
      <c r="I10" s="8">
        <v>13328</v>
      </c>
      <c r="J10" s="8">
        <v>13087</v>
      </c>
      <c r="K10" s="8">
        <v>12936</v>
      </c>
      <c r="L10" s="8">
        <v>12183</v>
      </c>
      <c r="M10" s="8">
        <v>12066</v>
      </c>
      <c r="N10" s="8">
        <v>11062</v>
      </c>
      <c r="O10" s="8">
        <v>10850</v>
      </c>
      <c r="P10" s="8">
        <v>10570</v>
      </c>
      <c r="Q10" s="8">
        <v>10751</v>
      </c>
      <c r="R10" s="8">
        <v>11240</v>
      </c>
      <c r="S10" s="8">
        <v>10830</v>
      </c>
      <c r="T10" s="8">
        <v>10246</v>
      </c>
      <c r="U10" s="8">
        <v>9552</v>
      </c>
      <c r="V10" s="8">
        <v>9132</v>
      </c>
      <c r="W10" s="8">
        <v>8900</v>
      </c>
      <c r="X10" s="8">
        <v>8829</v>
      </c>
      <c r="Y10" s="8">
        <v>9429</v>
      </c>
      <c r="Z10" s="8">
        <v>8538</v>
      </c>
      <c r="AA10" s="8">
        <v>7970</v>
      </c>
      <c r="AB10" s="8">
        <v>7990</v>
      </c>
      <c r="AC10" s="8">
        <v>7495</v>
      </c>
      <c r="AD10" s="8">
        <v>7588</v>
      </c>
      <c r="AE10" s="8">
        <v>7532</v>
      </c>
      <c r="AF10" s="8">
        <v>7586</v>
      </c>
      <c r="AG10" s="8">
        <v>7665</v>
      </c>
      <c r="AH10" s="8">
        <v>7595</v>
      </c>
      <c r="AI10" s="8">
        <v>7933</v>
      </c>
      <c r="AJ10" s="8">
        <v>7521</v>
      </c>
      <c r="AK10" s="8">
        <v>7494</v>
      </c>
    </row>
    <row r="12" spans="1:37" x14ac:dyDescent="0.35">
      <c r="A12" s="4" t="s">
        <v>26</v>
      </c>
      <c r="B12" s="3">
        <f>B5/B8</f>
        <v>12.80120528923041</v>
      </c>
      <c r="C12" s="3">
        <f t="shared" ref="C12:V12" si="0">C5/C8</f>
        <v>12.796987045467867</v>
      </c>
      <c r="D12" s="3">
        <f t="shared" si="0"/>
        <v>12.751637810014039</v>
      </c>
      <c r="E12" s="3">
        <f t="shared" si="0"/>
        <v>12.94576070901034</v>
      </c>
      <c r="F12" s="3">
        <f t="shared" si="0"/>
        <v>13.069459491994703</v>
      </c>
      <c r="G12" s="3">
        <f t="shared" si="0"/>
        <v>13.479246513903613</v>
      </c>
      <c r="H12" s="3">
        <f t="shared" si="0"/>
        <v>13.687910738048931</v>
      </c>
      <c r="I12" s="3">
        <f t="shared" si="0"/>
        <v>14.60764752980892</v>
      </c>
      <c r="J12" s="3">
        <f t="shared" si="0"/>
        <v>15.470912002887371</v>
      </c>
      <c r="K12" s="3">
        <f t="shared" si="0"/>
        <v>16.203908002991774</v>
      </c>
      <c r="L12" s="3">
        <f t="shared" si="0"/>
        <v>16.928509469423162</v>
      </c>
      <c r="M12" s="3">
        <f t="shared" si="0"/>
        <v>17.244220567479438</v>
      </c>
      <c r="N12" s="3">
        <f t="shared" si="0"/>
        <v>18.372220925104418</v>
      </c>
      <c r="O12" s="3">
        <f t="shared" si="0"/>
        <v>18.879198585739541</v>
      </c>
      <c r="P12" s="3">
        <f t="shared" si="0"/>
        <v>19.294437019712664</v>
      </c>
      <c r="Q12" s="3">
        <f t="shared" si="0"/>
        <v>19.436465813300032</v>
      </c>
      <c r="R12" s="3">
        <f t="shared" si="0"/>
        <v>19.783722087272089</v>
      </c>
      <c r="S12" s="3">
        <f t="shared" si="0"/>
        <v>20.246576998639867</v>
      </c>
      <c r="T12" s="3">
        <f t="shared" si="0"/>
        <v>19.691940298507461</v>
      </c>
      <c r="U12" s="3">
        <f t="shared" si="0"/>
        <v>20.218350173616543</v>
      </c>
      <c r="V12" s="3">
        <f t="shared" si="0"/>
        <v>20.099190861494527</v>
      </c>
      <c r="W12" s="3">
        <f t="shared" ref="W12:AK12" si="1">W5/W8</f>
        <v>20.608127384309171</v>
      </c>
      <c r="X12" s="3">
        <f t="shared" si="1"/>
        <v>20.741955403087477</v>
      </c>
      <c r="Y12" s="3">
        <f t="shared" si="1"/>
        <v>20.235188388103232</v>
      </c>
      <c r="Z12" s="3">
        <f t="shared" si="1"/>
        <v>20.387623534412526</v>
      </c>
      <c r="AA12" s="3">
        <f t="shared" si="1"/>
        <v>20.086995677233428</v>
      </c>
      <c r="AB12" s="3">
        <f t="shared" si="1"/>
        <v>19.681050587933623</v>
      </c>
      <c r="AC12" s="3">
        <f t="shared" si="1"/>
        <v>20.189442156495694</v>
      </c>
      <c r="AD12" s="3">
        <f t="shared" si="1"/>
        <v>20.601044025640043</v>
      </c>
      <c r="AE12" s="3">
        <f t="shared" si="1"/>
        <v>21.290339321357287</v>
      </c>
      <c r="AF12" s="3">
        <f t="shared" si="1"/>
        <v>21.543883086389766</v>
      </c>
      <c r="AG12" s="3">
        <f t="shared" si="1"/>
        <v>21.46937795212553</v>
      </c>
      <c r="AH12" s="3">
        <f t="shared" si="1"/>
        <v>21.849284345308487</v>
      </c>
      <c r="AI12" s="3">
        <f t="shared" si="1"/>
        <v>21.552397940568369</v>
      </c>
      <c r="AJ12" s="3">
        <f t="shared" si="1"/>
        <v>21.322712352894083</v>
      </c>
      <c r="AK12" s="3">
        <f t="shared" si="1"/>
        <v>22.030773752046684</v>
      </c>
    </row>
    <row r="13" spans="1:37" x14ac:dyDescent="0.35">
      <c r="A13" s="5" t="s">
        <v>22</v>
      </c>
      <c r="B13" s="6">
        <f t="shared" ref="B13:V13" si="2">B6/B9</f>
        <v>14.389809973217702</v>
      </c>
      <c r="C13" s="6">
        <f t="shared" si="2"/>
        <v>14.774552993003368</v>
      </c>
      <c r="D13" s="6">
        <f t="shared" si="2"/>
        <v>14.801223639677167</v>
      </c>
      <c r="E13" s="6">
        <f t="shared" si="2"/>
        <v>15.060923401172364</v>
      </c>
      <c r="F13" s="6">
        <f t="shared" si="2"/>
        <v>15.402347136093885</v>
      </c>
      <c r="G13" s="6">
        <f t="shared" si="2"/>
        <v>15.922902650006865</v>
      </c>
      <c r="H13" s="6">
        <f t="shared" si="2"/>
        <v>16.349369030188942</v>
      </c>
      <c r="I13" s="6">
        <f t="shared" si="2"/>
        <v>16.400914000830909</v>
      </c>
      <c r="J13" s="6">
        <f t="shared" si="2"/>
        <v>17.56634952428643</v>
      </c>
      <c r="K13" s="6">
        <f t="shared" si="2"/>
        <v>18.487045488002355</v>
      </c>
      <c r="L13" s="6">
        <f t="shared" si="2"/>
        <v>19.282249587025078</v>
      </c>
      <c r="M13" s="6">
        <f t="shared" si="2"/>
        <v>19.647520936782033</v>
      </c>
      <c r="N13" s="6">
        <f t="shared" si="2"/>
        <v>21.386229662815374</v>
      </c>
      <c r="O13" s="6">
        <f t="shared" si="2"/>
        <v>22.271648492623477</v>
      </c>
      <c r="P13" s="6">
        <f t="shared" si="2"/>
        <v>22.602787740462993</v>
      </c>
      <c r="Q13" s="6">
        <f t="shared" si="2"/>
        <v>23.522957910497421</v>
      </c>
      <c r="R13" s="6">
        <f t="shared" si="2"/>
        <v>24.278728806618069</v>
      </c>
      <c r="S13" s="6">
        <f t="shared" si="2"/>
        <v>24.942952182952183</v>
      </c>
      <c r="T13" s="6">
        <f t="shared" si="2"/>
        <v>24.35007647106174</v>
      </c>
      <c r="U13" s="6">
        <f t="shared" si="2"/>
        <v>25.077994198093659</v>
      </c>
      <c r="V13" s="6">
        <f t="shared" si="2"/>
        <v>25.639939612513629</v>
      </c>
      <c r="W13" s="6">
        <f t="shared" ref="W13:AK13" si="3">W6/W9</f>
        <v>26.610982966643011</v>
      </c>
      <c r="X13" s="6">
        <f t="shared" si="3"/>
        <v>26.278993435448577</v>
      </c>
      <c r="Y13" s="6">
        <f t="shared" si="3"/>
        <v>26.502221802023257</v>
      </c>
      <c r="Z13" s="6">
        <f t="shared" si="3"/>
        <v>25.301155038031741</v>
      </c>
      <c r="AA13" s="6">
        <f t="shared" si="3"/>
        <v>24.959728981773068</v>
      </c>
      <c r="AB13" s="6">
        <f t="shared" si="3"/>
        <v>23.785179569790582</v>
      </c>
      <c r="AC13" s="6">
        <f t="shared" si="3"/>
        <v>24.405004201288396</v>
      </c>
      <c r="AD13" s="6">
        <f t="shared" si="3"/>
        <v>25.762171181782488</v>
      </c>
      <c r="AE13" s="6">
        <f t="shared" si="3"/>
        <v>26.425784821700702</v>
      </c>
      <c r="AF13" s="6">
        <f t="shared" si="3"/>
        <v>25.760243853687786</v>
      </c>
      <c r="AG13" s="6">
        <f t="shared" si="3"/>
        <v>25.774154830966193</v>
      </c>
      <c r="AH13" s="6">
        <f t="shared" si="3"/>
        <v>26.010540052198355</v>
      </c>
      <c r="AI13" s="6">
        <f t="shared" si="3"/>
        <v>25.652502453385672</v>
      </c>
      <c r="AJ13" s="6">
        <f t="shared" si="3"/>
        <v>26.196177847113884</v>
      </c>
      <c r="AK13" s="6">
        <f t="shared" si="3"/>
        <v>26.845232344700996</v>
      </c>
    </row>
    <row r="14" spans="1:37" hidden="1" x14ac:dyDescent="0.35">
      <c r="A14" s="7" t="s">
        <v>23</v>
      </c>
      <c r="B14" s="8">
        <f t="shared" ref="B14:V14" si="4">B7/B10</f>
        <v>11.984629521343246</v>
      </c>
      <c r="C14" s="8">
        <f t="shared" si="4"/>
        <v>11.767266157510059</v>
      </c>
      <c r="D14" s="8">
        <f t="shared" si="4"/>
        <v>11.647582697201019</v>
      </c>
      <c r="E14" s="8">
        <f t="shared" si="4"/>
        <v>11.648735386261174</v>
      </c>
      <c r="F14" s="8">
        <f t="shared" si="4"/>
        <v>12.034606741573034</v>
      </c>
      <c r="G14" s="8">
        <f t="shared" si="4"/>
        <v>12.355535754065494</v>
      </c>
      <c r="H14" s="8">
        <f t="shared" si="4"/>
        <v>12.573759598346131</v>
      </c>
      <c r="I14" s="8">
        <f t="shared" si="4"/>
        <v>13.330732292917167</v>
      </c>
      <c r="J14" s="8">
        <f t="shared" si="4"/>
        <v>14.082983113012913</v>
      </c>
      <c r="K14" s="8">
        <f t="shared" si="4"/>
        <v>14.667207792207792</v>
      </c>
      <c r="L14" s="8">
        <f t="shared" si="4"/>
        <v>16.106049413116637</v>
      </c>
      <c r="M14" s="8">
        <f t="shared" si="4"/>
        <v>16.526520802254268</v>
      </c>
      <c r="N14" s="8">
        <f t="shared" si="4"/>
        <v>18.218314952088232</v>
      </c>
      <c r="O14" s="8">
        <f t="shared" si="4"/>
        <v>18.696589861751153</v>
      </c>
      <c r="P14" s="8">
        <f t="shared" si="4"/>
        <v>18.949006622516556</v>
      </c>
      <c r="Q14" s="8">
        <f t="shared" si="4"/>
        <v>18.636219886522184</v>
      </c>
      <c r="R14" s="8">
        <f t="shared" si="4"/>
        <v>18.997686832740214</v>
      </c>
      <c r="S14" s="8">
        <f t="shared" si="4"/>
        <v>19.060572483841181</v>
      </c>
      <c r="T14" s="8">
        <f t="shared" si="4"/>
        <v>18.934413429631075</v>
      </c>
      <c r="U14" s="8">
        <f t="shared" si="4"/>
        <v>19.585531825795645</v>
      </c>
      <c r="V14" s="8">
        <f t="shared" si="4"/>
        <v>19.20773105562856</v>
      </c>
      <c r="W14" s="8">
        <f t="shared" ref="W14:AK14" si="5">W7/W10</f>
        <v>19.354943820224719</v>
      </c>
      <c r="X14" s="8">
        <f t="shared" si="5"/>
        <v>20.149054253029789</v>
      </c>
      <c r="Y14" s="8">
        <f t="shared" si="5"/>
        <v>19.806130024392832</v>
      </c>
      <c r="Z14" s="8">
        <f t="shared" si="5"/>
        <v>21.539002108222068</v>
      </c>
      <c r="AA14" s="8">
        <f t="shared" si="5"/>
        <v>22.707904642409034</v>
      </c>
      <c r="AB14" s="8">
        <f t="shared" si="5"/>
        <v>21.768961201501877</v>
      </c>
      <c r="AC14" s="8">
        <f t="shared" si="5"/>
        <v>20.719946631087392</v>
      </c>
      <c r="AD14" s="8">
        <f t="shared" si="5"/>
        <v>20.536636794939376</v>
      </c>
      <c r="AE14" s="8">
        <f t="shared" si="5"/>
        <v>20.810674455655867</v>
      </c>
      <c r="AF14" s="8">
        <f t="shared" si="5"/>
        <v>21.162931716319537</v>
      </c>
      <c r="AG14" s="8">
        <f t="shared" si="5"/>
        <v>21.634572733202869</v>
      </c>
      <c r="AH14" s="8">
        <f t="shared" si="5"/>
        <v>22.133377221856485</v>
      </c>
      <c r="AI14" s="8">
        <f t="shared" si="5"/>
        <v>21.633303920332786</v>
      </c>
      <c r="AJ14" s="8">
        <f t="shared" si="5"/>
        <v>23.073793378540088</v>
      </c>
      <c r="AK14" s="8">
        <f t="shared" si="5"/>
        <v>21.829463570856685</v>
      </c>
    </row>
    <row r="17" spans="1:22" x14ac:dyDescent="0.35">
      <c r="A17" t="s">
        <v>53</v>
      </c>
      <c r="B17" t="s">
        <v>26</v>
      </c>
      <c r="D17" t="s">
        <v>53</v>
      </c>
      <c r="E17" t="s">
        <v>153</v>
      </c>
      <c r="J17" t="s">
        <v>53</v>
      </c>
      <c r="K17" t="s">
        <v>151</v>
      </c>
      <c r="L17" t="s">
        <v>152</v>
      </c>
      <c r="M17" t="s">
        <v>106</v>
      </c>
      <c r="N17" t="s">
        <v>151</v>
      </c>
      <c r="O17" t="s">
        <v>152</v>
      </c>
      <c r="P17" t="s">
        <v>106</v>
      </c>
    </row>
    <row r="18" spans="1:22" x14ac:dyDescent="0.35">
      <c r="A18" s="2">
        <v>1985</v>
      </c>
      <c r="B18" s="6">
        <v>26.845232344700996</v>
      </c>
      <c r="D18" s="2">
        <v>1985</v>
      </c>
      <c r="E18" s="6">
        <v>16.600000000000001</v>
      </c>
      <c r="J18" s="2">
        <v>1982</v>
      </c>
      <c r="K18" s="24" t="s">
        <v>42</v>
      </c>
      <c r="L18" s="6">
        <v>1072</v>
      </c>
      <c r="M18" s="6">
        <v>36.9</v>
      </c>
      <c r="N18" s="24" t="s">
        <v>48</v>
      </c>
      <c r="O18" s="6">
        <v>1129</v>
      </c>
      <c r="P18" s="6">
        <v>34.5</v>
      </c>
      <c r="R18" s="12" t="s">
        <v>63</v>
      </c>
      <c r="S18" t="s">
        <v>65</v>
      </c>
      <c r="U18" s="12" t="s">
        <v>63</v>
      </c>
      <c r="V18" t="s">
        <v>65</v>
      </c>
    </row>
    <row r="19" spans="1:22" x14ac:dyDescent="0.35">
      <c r="A19" s="2">
        <v>1986</v>
      </c>
      <c r="B19" s="6">
        <v>26.196177847113884</v>
      </c>
      <c r="D19" s="2">
        <v>1986</v>
      </c>
      <c r="E19" s="6">
        <v>14.8</v>
      </c>
      <c r="J19" s="2">
        <v>1982</v>
      </c>
      <c r="K19" s="24" t="s">
        <v>43</v>
      </c>
      <c r="L19" s="6">
        <v>1137</v>
      </c>
      <c r="M19" s="6">
        <v>37.5</v>
      </c>
      <c r="N19" s="24" t="s">
        <v>49</v>
      </c>
      <c r="O19" s="6">
        <v>1272</v>
      </c>
      <c r="P19" s="6">
        <v>35.4</v>
      </c>
      <c r="R19" s="13">
        <v>1982</v>
      </c>
      <c r="S19" s="100">
        <v>8007</v>
      </c>
      <c r="U19" s="13">
        <v>1982</v>
      </c>
      <c r="V19">
        <v>4851</v>
      </c>
    </row>
    <row r="20" spans="1:22" x14ac:dyDescent="0.35">
      <c r="A20" s="2">
        <v>1987</v>
      </c>
      <c r="B20" s="6">
        <v>25.652502453385672</v>
      </c>
      <c r="D20" s="2">
        <v>1987</v>
      </c>
      <c r="E20" s="6">
        <v>16.600000000000001</v>
      </c>
      <c r="J20" s="2">
        <v>1982</v>
      </c>
      <c r="K20" s="24" t="s">
        <v>44</v>
      </c>
      <c r="L20" s="6">
        <v>1251</v>
      </c>
      <c r="M20" s="6">
        <v>37.299999999999997</v>
      </c>
      <c r="N20" s="24" t="s">
        <v>50</v>
      </c>
      <c r="O20" s="6">
        <v>1424</v>
      </c>
      <c r="P20" s="6">
        <v>26</v>
      </c>
      <c r="R20" s="13">
        <v>1983</v>
      </c>
      <c r="S20" s="100">
        <v>7485</v>
      </c>
      <c r="U20" s="13">
        <v>1983</v>
      </c>
      <c r="V20">
        <v>4750</v>
      </c>
    </row>
    <row r="21" spans="1:22" x14ac:dyDescent="0.35">
      <c r="A21" s="2">
        <v>1988</v>
      </c>
      <c r="B21" s="6">
        <v>26.010540052198355</v>
      </c>
      <c r="D21" s="2">
        <v>1988</v>
      </c>
      <c r="E21" s="6">
        <v>19.8</v>
      </c>
      <c r="J21" s="2">
        <v>1982</v>
      </c>
      <c r="K21" s="24" t="s">
        <v>45</v>
      </c>
      <c r="L21" s="6">
        <v>1457</v>
      </c>
      <c r="M21" s="6">
        <v>33.799999999999997</v>
      </c>
      <c r="N21" s="24" t="s">
        <v>51</v>
      </c>
      <c r="O21" s="6">
        <v>1026</v>
      </c>
      <c r="P21" s="6">
        <v>34.5</v>
      </c>
      <c r="R21" s="13">
        <v>1984</v>
      </c>
      <c r="S21" s="100">
        <v>7178</v>
      </c>
      <c r="U21" s="13">
        <v>1984</v>
      </c>
      <c r="V21">
        <v>4890</v>
      </c>
    </row>
    <row r="22" spans="1:22" x14ac:dyDescent="0.35">
      <c r="A22" s="2">
        <v>1989</v>
      </c>
      <c r="B22" s="6">
        <v>25.774154830966193</v>
      </c>
      <c r="D22" s="2">
        <v>1989</v>
      </c>
      <c r="E22" s="6">
        <v>17.5</v>
      </c>
      <c r="J22" s="2">
        <v>1982</v>
      </c>
      <c r="K22" s="24" t="s">
        <v>46</v>
      </c>
      <c r="L22" s="6">
        <v>1442</v>
      </c>
      <c r="M22" s="6">
        <v>33</v>
      </c>
      <c r="N22" s="24" t="s">
        <v>52</v>
      </c>
      <c r="O22" s="6">
        <v>0</v>
      </c>
      <c r="P22" s="6">
        <v>0</v>
      </c>
      <c r="R22" s="13">
        <v>1985</v>
      </c>
      <c r="S22" s="100">
        <v>6945</v>
      </c>
      <c r="U22" s="13">
        <v>1985</v>
      </c>
      <c r="V22">
        <v>4986</v>
      </c>
    </row>
    <row r="23" spans="1:22" x14ac:dyDescent="0.35">
      <c r="A23" s="2">
        <v>1990</v>
      </c>
      <c r="B23" s="6">
        <v>25.760243853687786</v>
      </c>
      <c r="D23" s="2">
        <v>1990</v>
      </c>
      <c r="E23" s="6">
        <v>18.2</v>
      </c>
      <c r="J23" s="2">
        <v>1982</v>
      </c>
      <c r="K23" s="24" t="s">
        <v>47</v>
      </c>
      <c r="L23" s="6">
        <v>1648</v>
      </c>
      <c r="M23" s="6">
        <v>33.799999999999997</v>
      </c>
      <c r="N23" s="24" t="s">
        <v>48</v>
      </c>
      <c r="O23" s="6">
        <v>1036</v>
      </c>
      <c r="P23" s="6">
        <v>36.299999999999997</v>
      </c>
      <c r="R23" s="13">
        <v>1986</v>
      </c>
      <c r="S23" s="100">
        <v>6762</v>
      </c>
      <c r="U23" s="13">
        <v>1986</v>
      </c>
      <c r="V23">
        <v>5161</v>
      </c>
    </row>
    <row r="24" spans="1:22" x14ac:dyDescent="0.35">
      <c r="A24" s="2">
        <v>1991</v>
      </c>
      <c r="B24" s="6">
        <v>26.425784821700702</v>
      </c>
      <c r="D24" s="2">
        <v>1991</v>
      </c>
      <c r="E24" s="6">
        <v>17.100000000000001</v>
      </c>
      <c r="J24" s="2">
        <v>1983</v>
      </c>
      <c r="K24" s="24" t="s">
        <v>42</v>
      </c>
      <c r="L24" s="6">
        <v>1094</v>
      </c>
      <c r="M24" s="6">
        <v>39.5</v>
      </c>
      <c r="N24" s="24" t="s">
        <v>49</v>
      </c>
      <c r="O24" s="6">
        <v>1072</v>
      </c>
      <c r="P24" s="6">
        <v>35.9</v>
      </c>
      <c r="R24" s="13">
        <v>1987</v>
      </c>
      <c r="S24" s="100">
        <v>6704</v>
      </c>
      <c r="U24" s="13">
        <v>1987</v>
      </c>
      <c r="V24">
        <v>5124</v>
      </c>
    </row>
    <row r="25" spans="1:22" x14ac:dyDescent="0.35">
      <c r="A25" s="2">
        <v>1992</v>
      </c>
      <c r="B25" s="6">
        <v>25.762171181782488</v>
      </c>
      <c r="D25" s="2">
        <v>1992</v>
      </c>
      <c r="E25" s="6">
        <v>16.8</v>
      </c>
      <c r="J25" s="2">
        <v>1983</v>
      </c>
      <c r="K25" s="24" t="s">
        <v>43</v>
      </c>
      <c r="L25" s="6">
        <v>1044</v>
      </c>
      <c r="M25" s="6">
        <v>38.299999999999997</v>
      </c>
      <c r="N25" s="24" t="s">
        <v>50</v>
      </c>
      <c r="O25" s="6">
        <v>1459</v>
      </c>
      <c r="P25" s="6">
        <v>31.2</v>
      </c>
      <c r="R25" s="13">
        <v>1988</v>
      </c>
      <c r="S25" s="100">
        <v>6773</v>
      </c>
      <c r="U25" s="13">
        <v>1988</v>
      </c>
      <c r="V25">
        <v>4930</v>
      </c>
    </row>
    <row r="26" spans="1:22" x14ac:dyDescent="0.35">
      <c r="A26" s="2">
        <v>1993</v>
      </c>
      <c r="B26" s="6">
        <v>24.405004201288396</v>
      </c>
      <c r="D26" s="2">
        <v>1993</v>
      </c>
      <c r="E26" s="6">
        <v>16.8</v>
      </c>
      <c r="J26" s="2">
        <v>1983</v>
      </c>
      <c r="K26" s="24" t="s">
        <v>44</v>
      </c>
      <c r="L26" s="6">
        <v>1113</v>
      </c>
      <c r="M26" s="6">
        <v>38.5</v>
      </c>
      <c r="N26" s="24" t="s">
        <v>51</v>
      </c>
      <c r="O26" s="6">
        <v>1183</v>
      </c>
      <c r="P26" s="6">
        <v>33.5</v>
      </c>
      <c r="R26" s="13">
        <v>1989</v>
      </c>
      <c r="S26" s="100">
        <v>6739</v>
      </c>
      <c r="U26" s="13">
        <v>1989</v>
      </c>
      <c r="V26">
        <v>5055</v>
      </c>
    </row>
    <row r="27" spans="1:22" x14ac:dyDescent="0.35">
      <c r="A27" s="2">
        <v>1994</v>
      </c>
      <c r="B27" s="6">
        <v>23.785179569790582</v>
      </c>
      <c r="D27" s="2">
        <v>1994</v>
      </c>
      <c r="E27" s="6">
        <v>16.2</v>
      </c>
      <c r="J27" s="2">
        <v>1983</v>
      </c>
      <c r="K27" s="24" t="s">
        <v>45</v>
      </c>
      <c r="L27" s="6">
        <v>1333</v>
      </c>
      <c r="M27" s="6">
        <v>35.4</v>
      </c>
      <c r="N27" s="24" t="s">
        <v>52</v>
      </c>
      <c r="O27" s="6">
        <v>0</v>
      </c>
      <c r="P27" s="6">
        <v>0</v>
      </c>
      <c r="R27" s="13">
        <v>1990</v>
      </c>
      <c r="S27" s="100">
        <v>6658</v>
      </c>
      <c r="U27" s="13">
        <v>1990</v>
      </c>
      <c r="V27">
        <v>4929</v>
      </c>
    </row>
    <row r="28" spans="1:22" x14ac:dyDescent="0.35">
      <c r="A28" s="2">
        <v>1995</v>
      </c>
      <c r="B28" s="6">
        <v>24.959728981773068</v>
      </c>
      <c r="D28" s="2">
        <v>1995</v>
      </c>
      <c r="E28" s="6">
        <v>15.6</v>
      </c>
      <c r="J28" s="2">
        <v>1983</v>
      </c>
      <c r="K28" s="24" t="s">
        <v>46</v>
      </c>
      <c r="L28" s="6">
        <v>1458</v>
      </c>
      <c r="M28" s="6">
        <v>34.200000000000003</v>
      </c>
      <c r="N28" s="24" t="s">
        <v>48</v>
      </c>
      <c r="O28" s="6">
        <v>1000</v>
      </c>
      <c r="P28" s="6">
        <v>37.6</v>
      </c>
      <c r="R28" s="13">
        <v>1991</v>
      </c>
      <c r="S28" s="100">
        <v>6551</v>
      </c>
      <c r="U28" s="13">
        <v>1991</v>
      </c>
      <c r="V28">
        <v>4857</v>
      </c>
    </row>
    <row r="29" spans="1:22" x14ac:dyDescent="0.35">
      <c r="A29" s="2">
        <v>1996</v>
      </c>
      <c r="B29" s="6">
        <v>25.301155038031741</v>
      </c>
      <c r="D29" s="2">
        <v>1996</v>
      </c>
      <c r="E29" s="6">
        <v>15.2</v>
      </c>
      <c r="J29" s="2">
        <v>1983</v>
      </c>
      <c r="K29" s="24" t="s">
        <v>47</v>
      </c>
      <c r="L29" s="6">
        <v>1443</v>
      </c>
      <c r="M29" s="6">
        <v>33.700000000000003</v>
      </c>
      <c r="N29" s="24" t="s">
        <v>49</v>
      </c>
      <c r="O29" s="6">
        <v>1044</v>
      </c>
      <c r="P29" s="6">
        <v>36.799999999999997</v>
      </c>
      <c r="R29" s="13">
        <v>1992</v>
      </c>
      <c r="S29" s="100">
        <v>6647</v>
      </c>
      <c r="U29" s="13">
        <v>1992</v>
      </c>
      <c r="V29">
        <v>4917</v>
      </c>
    </row>
    <row r="30" spans="1:22" x14ac:dyDescent="0.35">
      <c r="A30" s="2">
        <v>1997</v>
      </c>
      <c r="B30" s="6">
        <v>26.502221802023257</v>
      </c>
      <c r="D30" s="2">
        <v>1997</v>
      </c>
      <c r="E30" s="6">
        <v>14.5</v>
      </c>
      <c r="J30" s="2">
        <v>1984</v>
      </c>
      <c r="K30" s="24" t="s">
        <v>42</v>
      </c>
      <c r="L30" s="6">
        <v>999</v>
      </c>
      <c r="M30" s="6">
        <v>38.700000000000003</v>
      </c>
      <c r="N30" s="24" t="s">
        <v>50</v>
      </c>
      <c r="O30" s="6">
        <v>1265</v>
      </c>
      <c r="P30" s="6">
        <v>30.8</v>
      </c>
      <c r="R30" s="13">
        <v>1993</v>
      </c>
      <c r="S30" s="100">
        <v>7098</v>
      </c>
      <c r="U30" s="13">
        <v>1993</v>
      </c>
      <c r="V30">
        <v>4898</v>
      </c>
    </row>
    <row r="31" spans="1:22" x14ac:dyDescent="0.35">
      <c r="A31" s="2">
        <v>1998</v>
      </c>
      <c r="B31" s="6">
        <v>26.278993435448577</v>
      </c>
      <c r="D31" s="2">
        <v>1998</v>
      </c>
      <c r="E31" s="6">
        <v>13.1</v>
      </c>
      <c r="J31" s="2">
        <v>1984</v>
      </c>
      <c r="K31" s="24" t="s">
        <v>43</v>
      </c>
      <c r="L31" s="6">
        <v>1116</v>
      </c>
      <c r="M31" s="6">
        <v>38.9</v>
      </c>
      <c r="N31" s="24" t="s">
        <v>51</v>
      </c>
      <c r="O31" s="6">
        <v>1581</v>
      </c>
      <c r="P31" s="6">
        <v>31.3</v>
      </c>
      <c r="R31" s="13">
        <v>1994</v>
      </c>
      <c r="S31" s="100">
        <v>6654</v>
      </c>
      <c r="U31" s="13">
        <v>1994</v>
      </c>
      <c r="V31">
        <v>5040</v>
      </c>
    </row>
    <row r="32" spans="1:22" x14ac:dyDescent="0.35">
      <c r="A32" s="2">
        <v>1999</v>
      </c>
      <c r="B32" s="6">
        <v>26.610982966643011</v>
      </c>
      <c r="D32" s="2">
        <v>1999</v>
      </c>
      <c r="E32" s="6">
        <v>12.8</v>
      </c>
      <c r="J32" s="2">
        <v>1984</v>
      </c>
      <c r="K32" s="24" t="s">
        <v>44</v>
      </c>
      <c r="L32" s="6">
        <v>1055</v>
      </c>
      <c r="M32" s="6">
        <v>38.1</v>
      </c>
      <c r="N32" s="24" t="s">
        <v>52</v>
      </c>
      <c r="O32" s="6">
        <v>0</v>
      </c>
      <c r="P32" s="6">
        <v>0</v>
      </c>
      <c r="R32" s="13">
        <v>1995</v>
      </c>
      <c r="S32" s="100">
        <v>6998</v>
      </c>
      <c r="U32" s="13">
        <v>1995</v>
      </c>
      <c r="V32">
        <v>5190</v>
      </c>
    </row>
    <row r="33" spans="1:22" x14ac:dyDescent="0.35">
      <c r="A33" s="2">
        <v>2000</v>
      </c>
      <c r="B33" s="6">
        <v>25.639939612513629</v>
      </c>
      <c r="D33" s="2">
        <v>2000</v>
      </c>
      <c r="E33" s="6">
        <v>13.7</v>
      </c>
      <c r="J33" s="2">
        <v>1984</v>
      </c>
      <c r="K33" s="24" t="s">
        <v>45</v>
      </c>
      <c r="L33" s="6">
        <v>1205</v>
      </c>
      <c r="M33" s="6">
        <v>35.9</v>
      </c>
      <c r="N33" s="24" t="s">
        <v>48</v>
      </c>
      <c r="O33" s="6">
        <v>1111</v>
      </c>
      <c r="P33" s="6">
        <v>38</v>
      </c>
      <c r="R33" s="13">
        <v>1996</v>
      </c>
      <c r="S33" s="100">
        <v>7239</v>
      </c>
      <c r="U33" s="13">
        <v>1996</v>
      </c>
      <c r="V33">
        <v>5281</v>
      </c>
    </row>
    <row r="34" spans="1:22" x14ac:dyDescent="0.35">
      <c r="A34" s="2">
        <v>2001</v>
      </c>
      <c r="B34" s="6">
        <v>25.077994198093659</v>
      </c>
      <c r="D34" s="2">
        <v>2001</v>
      </c>
      <c r="E34" s="6">
        <v>11.8</v>
      </c>
      <c r="J34" s="2">
        <v>1984</v>
      </c>
      <c r="K34" s="24" t="s">
        <v>46</v>
      </c>
      <c r="L34" s="6">
        <v>1354</v>
      </c>
      <c r="M34" s="6">
        <v>35.200000000000003</v>
      </c>
      <c r="N34" s="24" t="s">
        <v>49</v>
      </c>
      <c r="O34" s="6">
        <v>1021</v>
      </c>
      <c r="P34" s="6">
        <v>36.6</v>
      </c>
      <c r="R34" s="13">
        <v>1997</v>
      </c>
      <c r="S34" s="100">
        <v>7473</v>
      </c>
      <c r="U34" s="13">
        <v>1997</v>
      </c>
      <c r="V34">
        <v>5417</v>
      </c>
    </row>
    <row r="35" spans="1:22" x14ac:dyDescent="0.35">
      <c r="A35" s="2">
        <v>2002</v>
      </c>
      <c r="B35" s="6">
        <v>24.35007647106174</v>
      </c>
      <c r="D35" s="2">
        <v>2002</v>
      </c>
      <c r="E35" s="6">
        <v>11.4</v>
      </c>
      <c r="J35" s="2">
        <v>1984</v>
      </c>
      <c r="K35" s="24" t="s">
        <v>47</v>
      </c>
      <c r="L35" s="6">
        <v>1449</v>
      </c>
      <c r="M35" s="6">
        <v>34.5</v>
      </c>
      <c r="N35" s="24" t="s">
        <v>50</v>
      </c>
      <c r="O35" s="6">
        <v>1173</v>
      </c>
      <c r="P35" s="6">
        <v>32.5</v>
      </c>
      <c r="R35" s="13">
        <v>1998</v>
      </c>
      <c r="S35" s="100">
        <v>7684</v>
      </c>
      <c r="U35" s="13">
        <v>1998</v>
      </c>
      <c r="V35">
        <v>5217</v>
      </c>
    </row>
    <row r="36" spans="1:22" x14ac:dyDescent="0.35">
      <c r="A36" s="2">
        <v>2003</v>
      </c>
      <c r="B36" s="6">
        <v>24.942952182952183</v>
      </c>
      <c r="D36" s="2">
        <v>2003</v>
      </c>
      <c r="E36" s="6">
        <v>10.5</v>
      </c>
      <c r="J36" s="2">
        <v>1985</v>
      </c>
      <c r="K36" s="24" t="s">
        <v>42</v>
      </c>
      <c r="L36" s="6">
        <v>1019</v>
      </c>
      <c r="M36" s="6">
        <v>38.700000000000003</v>
      </c>
      <c r="N36" s="24" t="s">
        <v>51</v>
      </c>
      <c r="O36" s="6">
        <v>1429</v>
      </c>
      <c r="P36" s="6">
        <v>29.3</v>
      </c>
      <c r="R36" s="13">
        <v>1999</v>
      </c>
      <c r="S36" s="100">
        <v>8061</v>
      </c>
      <c r="U36" s="13">
        <v>1999</v>
      </c>
      <c r="V36">
        <v>4988</v>
      </c>
    </row>
    <row r="37" spans="1:22" x14ac:dyDescent="0.35">
      <c r="A37" s="2">
        <v>2004</v>
      </c>
      <c r="B37" s="6">
        <v>24.278728806618069</v>
      </c>
      <c r="D37" s="2">
        <v>2004</v>
      </c>
      <c r="E37" s="6">
        <v>10.3</v>
      </c>
      <c r="J37" s="2">
        <v>1985</v>
      </c>
      <c r="K37" s="24" t="s">
        <v>43</v>
      </c>
      <c r="L37" s="6">
        <v>1043</v>
      </c>
      <c r="M37" s="6">
        <v>37.299999999999997</v>
      </c>
      <c r="N37" s="24" t="s">
        <v>52</v>
      </c>
      <c r="O37" s="6">
        <v>252</v>
      </c>
      <c r="P37" s="6">
        <v>15.6</v>
      </c>
      <c r="R37" s="13">
        <v>2000</v>
      </c>
      <c r="S37" s="100">
        <v>8196</v>
      </c>
      <c r="U37" s="13">
        <v>2000</v>
      </c>
      <c r="V37">
        <v>4988</v>
      </c>
    </row>
    <row r="38" spans="1:22" x14ac:dyDescent="0.35">
      <c r="A38" s="2">
        <v>2005</v>
      </c>
      <c r="B38" s="6">
        <v>23.522957910497421</v>
      </c>
      <c r="D38" s="2">
        <v>2005</v>
      </c>
      <c r="E38" s="6">
        <v>10.199999999999999</v>
      </c>
      <c r="J38" s="2">
        <v>1985</v>
      </c>
      <c r="K38" s="24" t="s">
        <v>44</v>
      </c>
      <c r="L38" s="6">
        <v>1138</v>
      </c>
      <c r="M38" s="6">
        <v>38.200000000000003</v>
      </c>
      <c r="N38" s="24" t="s">
        <v>48</v>
      </c>
      <c r="O38" s="6">
        <v>1101</v>
      </c>
      <c r="P38" s="6">
        <v>37.5</v>
      </c>
      <c r="R38" s="13">
        <v>2001</v>
      </c>
      <c r="S38" s="100">
        <v>8088</v>
      </c>
      <c r="U38" s="13">
        <v>2001</v>
      </c>
      <c r="V38">
        <v>5235</v>
      </c>
    </row>
    <row r="39" spans="1:22" x14ac:dyDescent="0.35">
      <c r="A39" s="2">
        <v>2006</v>
      </c>
      <c r="B39" s="6">
        <v>22.602787740462993</v>
      </c>
      <c r="D39" s="2">
        <v>2006</v>
      </c>
      <c r="E39" s="6">
        <v>10.3</v>
      </c>
      <c r="J39" s="2">
        <v>1985</v>
      </c>
      <c r="K39" s="24" t="s">
        <v>45</v>
      </c>
      <c r="L39" s="6">
        <v>1142</v>
      </c>
      <c r="M39" s="6">
        <v>35.299999999999997</v>
      </c>
      <c r="N39" s="24" t="s">
        <v>49</v>
      </c>
      <c r="O39" s="6">
        <v>1133</v>
      </c>
      <c r="P39" s="6">
        <v>36.9</v>
      </c>
      <c r="R39" s="13">
        <v>2002</v>
      </c>
      <c r="S39" s="100">
        <v>8040</v>
      </c>
      <c r="U39" s="13">
        <v>2002</v>
      </c>
      <c r="V39">
        <v>5381</v>
      </c>
    </row>
    <row r="40" spans="1:22" x14ac:dyDescent="0.35">
      <c r="A40" s="2">
        <v>2007</v>
      </c>
      <c r="B40" s="6">
        <v>22.271648492623477</v>
      </c>
      <c r="D40" s="2">
        <v>2007</v>
      </c>
      <c r="E40" s="6">
        <v>10.3</v>
      </c>
      <c r="J40" s="2">
        <v>1985</v>
      </c>
      <c r="K40" s="24" t="s">
        <v>46</v>
      </c>
      <c r="L40" s="6">
        <v>1242</v>
      </c>
      <c r="M40" s="6">
        <v>35</v>
      </c>
      <c r="N40" s="24" t="s">
        <v>50</v>
      </c>
      <c r="O40" s="6">
        <v>1129</v>
      </c>
      <c r="P40" s="6">
        <v>33.200000000000003</v>
      </c>
      <c r="R40" s="13">
        <v>2003</v>
      </c>
      <c r="S40" s="100">
        <v>7944</v>
      </c>
      <c r="U40" s="13">
        <v>2003</v>
      </c>
      <c r="V40">
        <v>5650</v>
      </c>
    </row>
    <row r="41" spans="1:22" x14ac:dyDescent="0.35">
      <c r="A41" s="2">
        <v>2008</v>
      </c>
      <c r="B41" s="6">
        <v>21.386229662815374</v>
      </c>
      <c r="D41" s="2">
        <v>2008</v>
      </c>
      <c r="E41" s="6">
        <v>10.199999999999999</v>
      </c>
      <c r="J41" s="2">
        <v>1985</v>
      </c>
      <c r="K41" s="24" t="s">
        <v>47</v>
      </c>
      <c r="L41" s="6">
        <v>1361</v>
      </c>
      <c r="M41" s="6">
        <v>34.9</v>
      </c>
      <c r="N41" s="24" t="s">
        <v>51</v>
      </c>
      <c r="O41" s="6">
        <v>1296</v>
      </c>
      <c r="P41" s="6">
        <v>30.7</v>
      </c>
      <c r="R41" s="13">
        <v>2004</v>
      </c>
      <c r="S41" s="100">
        <v>7873</v>
      </c>
      <c r="U41" s="13">
        <v>2004</v>
      </c>
      <c r="V41">
        <v>5821</v>
      </c>
    </row>
    <row r="42" spans="1:22" x14ac:dyDescent="0.35">
      <c r="A42" s="2">
        <v>2009</v>
      </c>
      <c r="B42" s="6">
        <v>19.647520936782033</v>
      </c>
      <c r="D42" s="2">
        <v>2009</v>
      </c>
      <c r="E42" s="6">
        <v>9.9</v>
      </c>
      <c r="J42" s="2">
        <v>1986</v>
      </c>
      <c r="K42" s="24" t="s">
        <v>42</v>
      </c>
      <c r="L42" s="6">
        <v>1058</v>
      </c>
      <c r="M42" s="6">
        <v>38</v>
      </c>
      <c r="N42" s="24" t="s">
        <v>52</v>
      </c>
      <c r="O42" s="6">
        <v>502</v>
      </c>
      <c r="P42" s="6">
        <v>26.3</v>
      </c>
      <c r="R42" s="13">
        <v>2005</v>
      </c>
      <c r="S42" s="100">
        <v>8036</v>
      </c>
      <c r="U42" s="13">
        <v>2005</v>
      </c>
      <c r="V42">
        <v>5837</v>
      </c>
    </row>
    <row r="43" spans="1:22" x14ac:dyDescent="0.35">
      <c r="A43" s="2">
        <v>2010</v>
      </c>
      <c r="B43" s="6">
        <v>19.282249587025078</v>
      </c>
      <c r="D43" s="2">
        <v>2010</v>
      </c>
      <c r="E43" s="6">
        <v>9.3000000000000007</v>
      </c>
      <c r="J43" s="2">
        <v>1986</v>
      </c>
      <c r="K43" s="24" t="s">
        <v>43</v>
      </c>
      <c r="L43" s="6">
        <v>1043</v>
      </c>
      <c r="M43" s="6">
        <v>37.799999999999997</v>
      </c>
      <c r="N43" s="24" t="s">
        <v>48</v>
      </c>
      <c r="O43" s="6">
        <v>1063</v>
      </c>
      <c r="P43" s="6">
        <v>36.700000000000003</v>
      </c>
      <c r="R43" s="13">
        <v>2006</v>
      </c>
      <c r="S43" s="100">
        <v>8235</v>
      </c>
      <c r="U43" s="13">
        <v>2006</v>
      </c>
      <c r="V43">
        <v>5904</v>
      </c>
    </row>
    <row r="44" spans="1:22" x14ac:dyDescent="0.35">
      <c r="A44" s="2">
        <v>2011</v>
      </c>
      <c r="B44" s="6">
        <v>18.487045488002355</v>
      </c>
      <c r="D44" s="2">
        <v>2011</v>
      </c>
      <c r="E44" s="6">
        <v>9.5</v>
      </c>
      <c r="J44" s="2">
        <v>1986</v>
      </c>
      <c r="K44" s="24" t="s">
        <v>44</v>
      </c>
      <c r="L44" s="6">
        <v>1038</v>
      </c>
      <c r="M44" s="6">
        <v>37.4</v>
      </c>
      <c r="N44" s="24" t="s">
        <v>49</v>
      </c>
      <c r="O44" s="6">
        <v>1117</v>
      </c>
      <c r="P44" s="6">
        <v>36.6</v>
      </c>
      <c r="R44" s="13">
        <v>2007</v>
      </c>
      <c r="S44" s="100">
        <v>8247</v>
      </c>
      <c r="U44" s="13">
        <v>2007</v>
      </c>
      <c r="V44">
        <v>5936</v>
      </c>
    </row>
    <row r="45" spans="1:22" x14ac:dyDescent="0.35">
      <c r="A45" s="2">
        <v>2012</v>
      </c>
      <c r="B45" s="6">
        <v>17.56634952428643</v>
      </c>
      <c r="D45" s="2">
        <v>2012</v>
      </c>
      <c r="E45" s="6">
        <v>10.1</v>
      </c>
      <c r="J45" s="2">
        <v>1986</v>
      </c>
      <c r="K45" s="24" t="s">
        <v>45</v>
      </c>
      <c r="L45" s="6">
        <v>1213</v>
      </c>
      <c r="M45" s="6">
        <v>35.799999999999997</v>
      </c>
      <c r="N45" s="24" t="s">
        <v>50</v>
      </c>
      <c r="O45" s="6">
        <v>1237</v>
      </c>
      <c r="P45" s="6">
        <v>33.700000000000003</v>
      </c>
      <c r="R45" s="13">
        <v>2008</v>
      </c>
      <c r="S45" s="100">
        <v>8097</v>
      </c>
      <c r="U45" s="13">
        <v>2008</v>
      </c>
      <c r="V45">
        <v>5934</v>
      </c>
    </row>
    <row r="46" spans="1:22" x14ac:dyDescent="0.35">
      <c r="A46" s="2">
        <v>2013</v>
      </c>
      <c r="B46" s="6">
        <v>16.400914000830909</v>
      </c>
      <c r="D46" s="2">
        <v>2013</v>
      </c>
      <c r="E46" s="6">
        <v>9.3000000000000007</v>
      </c>
      <c r="J46" s="2">
        <v>1986</v>
      </c>
      <c r="K46" s="24" t="s">
        <v>46</v>
      </c>
      <c r="L46" s="6">
        <v>1158</v>
      </c>
      <c r="M46" s="6">
        <v>34.9</v>
      </c>
      <c r="N46" s="24" t="s">
        <v>51</v>
      </c>
      <c r="O46" s="6">
        <v>1269</v>
      </c>
      <c r="P46" s="6">
        <v>30.7</v>
      </c>
      <c r="R46" s="13">
        <v>2009</v>
      </c>
      <c r="S46" s="100">
        <v>7906</v>
      </c>
      <c r="U46" s="13">
        <v>2009</v>
      </c>
      <c r="V46">
        <v>5945</v>
      </c>
    </row>
    <row r="47" spans="1:22" x14ac:dyDescent="0.35">
      <c r="A47" s="2">
        <v>2014</v>
      </c>
      <c r="B47" s="6">
        <v>16.349369030188942</v>
      </c>
      <c r="D47" s="2">
        <v>2014</v>
      </c>
      <c r="E47" s="6">
        <v>9.8000000000000007</v>
      </c>
      <c r="J47" s="2">
        <v>1986</v>
      </c>
      <c r="K47" s="24" t="s">
        <v>47</v>
      </c>
      <c r="L47" s="6">
        <v>1252</v>
      </c>
      <c r="M47" s="6">
        <v>34.799999999999997</v>
      </c>
      <c r="N47" s="24" t="s">
        <v>52</v>
      </c>
      <c r="O47" s="6">
        <v>438</v>
      </c>
      <c r="P47" s="6">
        <v>25.5</v>
      </c>
      <c r="R47" s="13">
        <v>2010</v>
      </c>
      <c r="S47" s="100">
        <v>7692</v>
      </c>
      <c r="U47" s="13">
        <v>2010</v>
      </c>
      <c r="V47">
        <v>5865</v>
      </c>
    </row>
    <row r="48" spans="1:22" x14ac:dyDescent="0.35">
      <c r="A48" s="2">
        <v>2015</v>
      </c>
      <c r="B48" s="6">
        <v>15.922902650006865</v>
      </c>
      <c r="D48" s="2">
        <v>2015</v>
      </c>
      <c r="E48" s="6">
        <v>9.6999999999999993</v>
      </c>
      <c r="J48" s="2">
        <v>1987</v>
      </c>
      <c r="K48" s="24" t="s">
        <v>42</v>
      </c>
      <c r="L48" s="6">
        <v>1052</v>
      </c>
      <c r="M48" s="6">
        <v>38.200000000000003</v>
      </c>
      <c r="N48" s="24" t="s">
        <v>48</v>
      </c>
      <c r="O48" s="6">
        <v>1014</v>
      </c>
      <c r="P48" s="6">
        <v>36.200000000000003</v>
      </c>
      <c r="R48" s="13">
        <v>2011</v>
      </c>
      <c r="S48" s="100">
        <v>7522</v>
      </c>
      <c r="U48" s="13">
        <v>2011</v>
      </c>
      <c r="V48">
        <v>5734</v>
      </c>
    </row>
    <row r="49" spans="1:22" x14ac:dyDescent="0.35">
      <c r="A49" s="2">
        <v>2016</v>
      </c>
      <c r="B49" s="6">
        <v>15.402347136093885</v>
      </c>
      <c r="D49" s="2">
        <v>2016</v>
      </c>
      <c r="E49" s="6">
        <v>9.4</v>
      </c>
      <c r="J49" s="2">
        <v>1987</v>
      </c>
      <c r="K49" s="24" t="s">
        <v>43</v>
      </c>
      <c r="L49" s="6">
        <v>1066</v>
      </c>
      <c r="M49" s="6">
        <v>37.700000000000003</v>
      </c>
      <c r="N49" s="24" t="s">
        <v>49</v>
      </c>
      <c r="O49" s="6">
        <v>1119</v>
      </c>
      <c r="P49" s="6">
        <v>34.700000000000003</v>
      </c>
      <c r="R49" s="13">
        <v>2012</v>
      </c>
      <c r="S49" s="100">
        <v>7377</v>
      </c>
      <c r="U49" s="13">
        <v>2012</v>
      </c>
      <c r="V49">
        <v>5638</v>
      </c>
    </row>
    <row r="50" spans="1:22" x14ac:dyDescent="0.35">
      <c r="A50" s="2">
        <v>2017</v>
      </c>
      <c r="B50" s="6">
        <v>15.060923401172364</v>
      </c>
      <c r="D50" s="2">
        <v>2017</v>
      </c>
      <c r="E50" s="6">
        <v>8.9</v>
      </c>
      <c r="J50" s="2">
        <v>1987</v>
      </c>
      <c r="K50" s="24" t="s">
        <v>44</v>
      </c>
      <c r="L50" s="6">
        <v>1051</v>
      </c>
      <c r="M50" s="6">
        <v>37.4</v>
      </c>
      <c r="N50" s="24" t="s">
        <v>50</v>
      </c>
      <c r="O50" s="6">
        <v>1199</v>
      </c>
      <c r="P50" s="6">
        <v>34</v>
      </c>
      <c r="R50" s="13">
        <v>2013</v>
      </c>
      <c r="S50" s="100">
        <v>7242</v>
      </c>
      <c r="U50" s="13">
        <v>2013</v>
      </c>
      <c r="V50">
        <v>5574</v>
      </c>
    </row>
    <row r="51" spans="1:22" x14ac:dyDescent="0.35">
      <c r="A51" s="2">
        <v>2018</v>
      </c>
      <c r="B51" s="6">
        <v>14.801223639677167</v>
      </c>
      <c r="D51" s="2">
        <v>2018</v>
      </c>
      <c r="E51" s="6">
        <v>8.8000000000000007</v>
      </c>
      <c r="J51" s="2">
        <v>1987</v>
      </c>
      <c r="K51" s="24" t="s">
        <v>45</v>
      </c>
      <c r="L51" s="6">
        <v>1111</v>
      </c>
      <c r="M51" s="6">
        <v>34.799999999999997</v>
      </c>
      <c r="N51" s="24" t="s">
        <v>51</v>
      </c>
      <c r="O51" s="6">
        <v>1244</v>
      </c>
      <c r="P51" s="6">
        <v>33.4</v>
      </c>
      <c r="R51" s="13">
        <v>2014</v>
      </c>
      <c r="S51" s="100">
        <v>7196</v>
      </c>
      <c r="U51" s="13">
        <v>2014</v>
      </c>
      <c r="V51">
        <v>5479</v>
      </c>
    </row>
    <row r="52" spans="1:22" x14ac:dyDescent="0.35">
      <c r="A52" s="2">
        <v>2019</v>
      </c>
      <c r="B52" s="6">
        <v>14.774552993003368</v>
      </c>
      <c r="D52" s="2">
        <v>2019</v>
      </c>
      <c r="E52" s="6">
        <v>8.8000000000000007</v>
      </c>
      <c r="J52" s="2">
        <v>1987</v>
      </c>
      <c r="K52" s="24" t="s">
        <v>46</v>
      </c>
      <c r="L52" s="6">
        <v>1252</v>
      </c>
      <c r="M52" s="6">
        <v>34.700000000000003</v>
      </c>
      <c r="N52" s="24" t="s">
        <v>52</v>
      </c>
      <c r="O52" s="6">
        <v>354</v>
      </c>
      <c r="P52" s="6">
        <v>29.2</v>
      </c>
      <c r="R52" s="13">
        <v>2015</v>
      </c>
      <c r="S52" s="100">
        <v>7141</v>
      </c>
      <c r="U52" s="13">
        <v>2015</v>
      </c>
      <c r="V52">
        <v>5425</v>
      </c>
    </row>
    <row r="53" spans="1:22" x14ac:dyDescent="0.35">
      <c r="A53" s="2">
        <v>2020</v>
      </c>
      <c r="B53" s="6">
        <v>14.389809973217702</v>
      </c>
      <c r="D53" s="2">
        <v>2020</v>
      </c>
      <c r="E53" s="6">
        <v>8.5</v>
      </c>
      <c r="J53" s="2">
        <v>1987</v>
      </c>
      <c r="K53" s="24" t="s">
        <v>47</v>
      </c>
      <c r="L53" s="6">
        <v>1172</v>
      </c>
      <c r="M53" s="6">
        <v>34.6</v>
      </c>
      <c r="N53" s="24" t="s">
        <v>48</v>
      </c>
      <c r="O53" s="6">
        <v>1074</v>
      </c>
      <c r="P53" s="6">
        <v>35.4</v>
      </c>
      <c r="R53" s="13">
        <v>2016</v>
      </c>
      <c r="S53" s="100">
        <v>7143</v>
      </c>
      <c r="U53" s="13">
        <v>2016</v>
      </c>
      <c r="V53">
        <v>5279</v>
      </c>
    </row>
    <row r="54" spans="1:22" x14ac:dyDescent="0.35">
      <c r="D54" s="2">
        <v>2021</v>
      </c>
      <c r="E54" s="6">
        <v>8.6</v>
      </c>
      <c r="J54" s="2">
        <v>1988</v>
      </c>
      <c r="K54" s="24" t="s">
        <v>42</v>
      </c>
      <c r="L54" s="6">
        <v>1084</v>
      </c>
      <c r="M54" s="6">
        <v>38</v>
      </c>
      <c r="N54" s="24" t="s">
        <v>49</v>
      </c>
      <c r="O54" s="6">
        <v>1069</v>
      </c>
      <c r="P54" s="6">
        <v>34</v>
      </c>
      <c r="R54" s="13">
        <v>2017</v>
      </c>
      <c r="S54" s="100">
        <v>7105</v>
      </c>
      <c r="U54" s="13">
        <v>2017</v>
      </c>
      <c r="V54">
        <v>5060</v>
      </c>
    </row>
    <row r="55" spans="1:22" x14ac:dyDescent="0.35">
      <c r="J55" s="2">
        <v>1988</v>
      </c>
      <c r="K55" s="24" t="s">
        <v>43</v>
      </c>
      <c r="L55" s="6">
        <v>1072</v>
      </c>
      <c r="M55" s="6">
        <v>37.6</v>
      </c>
      <c r="N55" s="24" t="s">
        <v>50</v>
      </c>
      <c r="O55" s="6">
        <v>1217</v>
      </c>
      <c r="P55" s="6">
        <v>31.9</v>
      </c>
      <c r="R55" s="13">
        <v>2018</v>
      </c>
      <c r="S55" s="100">
        <v>7089</v>
      </c>
      <c r="U55" s="13">
        <v>2018</v>
      </c>
      <c r="V55">
        <v>4890</v>
      </c>
    </row>
    <row r="56" spans="1:22" x14ac:dyDescent="0.35">
      <c r="J56" s="2">
        <v>1988</v>
      </c>
      <c r="K56" s="24" t="s">
        <v>44</v>
      </c>
      <c r="L56" s="6">
        <v>1084</v>
      </c>
      <c r="M56" s="6">
        <v>37</v>
      </c>
      <c r="N56" s="24" t="s">
        <v>51</v>
      </c>
      <c r="O56" s="6">
        <v>1321</v>
      </c>
      <c r="P56" s="6">
        <v>31.1</v>
      </c>
      <c r="R56" s="13">
        <v>2019</v>
      </c>
      <c r="S56" s="100">
        <v>7123</v>
      </c>
      <c r="U56" s="13">
        <v>2019</v>
      </c>
      <c r="V56">
        <v>4877</v>
      </c>
    </row>
    <row r="57" spans="1:22" x14ac:dyDescent="0.35">
      <c r="J57" s="2">
        <v>1988</v>
      </c>
      <c r="K57" s="24" t="s">
        <v>45</v>
      </c>
      <c r="L57" s="6">
        <v>1135</v>
      </c>
      <c r="M57" s="6">
        <v>34.6</v>
      </c>
      <c r="N57" s="24" t="s">
        <v>52</v>
      </c>
      <c r="O57" s="6">
        <v>374</v>
      </c>
      <c r="P57" s="6">
        <v>30.6</v>
      </c>
      <c r="R57" s="13">
        <v>2020</v>
      </c>
      <c r="S57" s="100">
        <v>7064</v>
      </c>
      <c r="U57" s="13">
        <v>2020</v>
      </c>
      <c r="V57">
        <v>4901</v>
      </c>
    </row>
    <row r="58" spans="1:22" x14ac:dyDescent="0.35">
      <c r="J58" s="2">
        <v>1988</v>
      </c>
      <c r="K58" s="24" t="s">
        <v>46</v>
      </c>
      <c r="L58" s="6">
        <v>1146</v>
      </c>
      <c r="M58" s="6">
        <v>33.9</v>
      </c>
      <c r="N58" s="24" t="s">
        <v>48</v>
      </c>
      <c r="O58" s="6">
        <v>1006</v>
      </c>
      <c r="P58" s="6">
        <v>35.5</v>
      </c>
      <c r="R58" s="13" t="s">
        <v>64</v>
      </c>
      <c r="S58" s="100">
        <v>288012</v>
      </c>
      <c r="U58" s="13" t="s">
        <v>64</v>
      </c>
      <c r="V58">
        <v>205834</v>
      </c>
    </row>
    <row r="59" spans="1:22" x14ac:dyDescent="0.35">
      <c r="J59" s="2">
        <v>1988</v>
      </c>
      <c r="K59" s="24" t="s">
        <v>47</v>
      </c>
      <c r="L59" s="6">
        <v>1252</v>
      </c>
      <c r="M59" s="6">
        <v>34</v>
      </c>
      <c r="N59" s="24" t="s">
        <v>49</v>
      </c>
      <c r="O59" s="6">
        <v>1125</v>
      </c>
      <c r="P59" s="6">
        <v>33.6</v>
      </c>
    </row>
    <row r="60" spans="1:22" x14ac:dyDescent="0.35">
      <c r="J60" s="2">
        <v>1989</v>
      </c>
      <c r="K60" s="24" t="s">
        <v>42</v>
      </c>
      <c r="L60" s="6">
        <v>1093</v>
      </c>
      <c r="M60" s="6">
        <v>37.9</v>
      </c>
      <c r="N60" s="24" t="s">
        <v>50</v>
      </c>
      <c r="O60" s="6">
        <v>1154</v>
      </c>
      <c r="P60" s="6">
        <v>31.5</v>
      </c>
    </row>
    <row r="61" spans="1:22" x14ac:dyDescent="0.35">
      <c r="J61" s="2">
        <v>1989</v>
      </c>
      <c r="K61" s="24" t="s">
        <v>43</v>
      </c>
      <c r="L61" s="6">
        <v>1094</v>
      </c>
      <c r="M61" s="6">
        <v>37.6</v>
      </c>
      <c r="N61" s="24" t="s">
        <v>51</v>
      </c>
      <c r="O61" s="6">
        <v>1254</v>
      </c>
      <c r="P61" s="6">
        <v>31.2</v>
      </c>
    </row>
    <row r="62" spans="1:22" x14ac:dyDescent="0.35">
      <c r="J62" s="2">
        <v>1989</v>
      </c>
      <c r="K62" s="24" t="s">
        <v>44</v>
      </c>
      <c r="L62" s="6">
        <v>1084</v>
      </c>
      <c r="M62" s="6">
        <v>37.1</v>
      </c>
      <c r="N62" s="24" t="s">
        <v>52</v>
      </c>
      <c r="O62" s="6">
        <v>390</v>
      </c>
      <c r="P62" s="6">
        <v>29.6</v>
      </c>
    </row>
    <row r="63" spans="1:22" x14ac:dyDescent="0.35">
      <c r="J63" s="2">
        <v>1989</v>
      </c>
      <c r="K63" s="24" t="s">
        <v>45</v>
      </c>
      <c r="L63" s="6">
        <v>1159</v>
      </c>
      <c r="M63" s="6">
        <v>34.6</v>
      </c>
      <c r="N63" s="24" t="s">
        <v>48</v>
      </c>
      <c r="O63" s="6">
        <v>994</v>
      </c>
      <c r="P63" s="6">
        <v>35.4</v>
      </c>
    </row>
    <row r="64" spans="1:22" x14ac:dyDescent="0.35">
      <c r="J64" s="2">
        <v>1989</v>
      </c>
      <c r="K64" s="24" t="s">
        <v>46</v>
      </c>
      <c r="L64" s="6">
        <v>1156</v>
      </c>
      <c r="M64" s="6">
        <v>34.1</v>
      </c>
      <c r="N64" s="24" t="s">
        <v>49</v>
      </c>
      <c r="O64" s="6">
        <v>1058</v>
      </c>
      <c r="P64" s="6">
        <v>33.700000000000003</v>
      </c>
    </row>
    <row r="65" spans="10:16" x14ac:dyDescent="0.35">
      <c r="J65" s="2">
        <v>1989</v>
      </c>
      <c r="K65" s="24" t="s">
        <v>47</v>
      </c>
      <c r="L65" s="6">
        <v>1153</v>
      </c>
      <c r="M65" s="6">
        <v>33.799999999999997</v>
      </c>
      <c r="N65" s="24" t="s">
        <v>50</v>
      </c>
      <c r="O65" s="6">
        <v>1218</v>
      </c>
      <c r="P65" s="6">
        <v>31.2</v>
      </c>
    </row>
    <row r="66" spans="10:16" x14ac:dyDescent="0.35">
      <c r="J66" s="2">
        <v>1990</v>
      </c>
      <c r="K66" s="24" t="s">
        <v>42</v>
      </c>
      <c r="L66" s="6">
        <v>1020</v>
      </c>
      <c r="M66" s="6">
        <v>38.5</v>
      </c>
      <c r="N66" s="24" t="s">
        <v>51</v>
      </c>
      <c r="O66" s="6">
        <v>1196</v>
      </c>
      <c r="P66" s="6">
        <v>30.6</v>
      </c>
    </row>
    <row r="67" spans="10:16" x14ac:dyDescent="0.35">
      <c r="J67" s="2">
        <v>1990</v>
      </c>
      <c r="K67" s="24" t="s">
        <v>43</v>
      </c>
      <c r="L67" s="6">
        <v>1092</v>
      </c>
      <c r="M67" s="6">
        <v>38.1</v>
      </c>
      <c r="N67" s="24" t="s">
        <v>52</v>
      </c>
      <c r="O67" s="6">
        <v>391</v>
      </c>
      <c r="P67" s="6">
        <v>29</v>
      </c>
    </row>
    <row r="68" spans="10:16" x14ac:dyDescent="0.35">
      <c r="J68" s="2">
        <v>1990</v>
      </c>
      <c r="K68" s="24" t="s">
        <v>44</v>
      </c>
      <c r="L68" s="6">
        <v>1090</v>
      </c>
      <c r="M68" s="6">
        <v>37.799999999999997</v>
      </c>
      <c r="N68" s="24" t="s">
        <v>48</v>
      </c>
      <c r="O68" s="6">
        <v>1041</v>
      </c>
      <c r="P68" s="6">
        <v>35.1</v>
      </c>
    </row>
    <row r="69" spans="10:16" x14ac:dyDescent="0.35">
      <c r="J69" s="2">
        <v>1990</v>
      </c>
      <c r="K69" s="24" t="s">
        <v>45</v>
      </c>
      <c r="L69" s="6">
        <v>1144</v>
      </c>
      <c r="M69" s="6">
        <v>35.299999999999997</v>
      </c>
      <c r="N69" s="24" t="s">
        <v>49</v>
      </c>
      <c r="O69" s="6">
        <v>1057</v>
      </c>
      <c r="P69" s="6">
        <v>33.299999999999997</v>
      </c>
    </row>
    <row r="70" spans="10:16" x14ac:dyDescent="0.35">
      <c r="J70" s="2">
        <v>1990</v>
      </c>
      <c r="K70" s="24" t="s">
        <v>46</v>
      </c>
      <c r="L70" s="6">
        <v>1164</v>
      </c>
      <c r="M70" s="6">
        <v>34.6</v>
      </c>
      <c r="N70" s="24" t="s">
        <v>50</v>
      </c>
      <c r="O70" s="6">
        <v>1190</v>
      </c>
      <c r="P70" s="6">
        <v>30.1</v>
      </c>
    </row>
    <row r="71" spans="10:16" x14ac:dyDescent="0.35">
      <c r="J71" s="2">
        <v>1990</v>
      </c>
      <c r="K71" s="24" t="s">
        <v>47</v>
      </c>
      <c r="L71" s="6">
        <v>1148</v>
      </c>
      <c r="M71" s="6">
        <v>33.6</v>
      </c>
      <c r="N71" s="24" t="s">
        <v>51</v>
      </c>
      <c r="O71" s="6">
        <v>1247</v>
      </c>
      <c r="P71" s="6">
        <v>30.4</v>
      </c>
    </row>
    <row r="72" spans="10:16" x14ac:dyDescent="0.35">
      <c r="J72" s="2">
        <v>1991</v>
      </c>
      <c r="K72" s="24" t="s">
        <v>42</v>
      </c>
      <c r="L72" s="6">
        <v>1019</v>
      </c>
      <c r="M72" s="6">
        <v>39.700000000000003</v>
      </c>
      <c r="N72" s="24" t="s">
        <v>52</v>
      </c>
      <c r="O72" s="6">
        <v>382</v>
      </c>
      <c r="P72" s="6">
        <v>27.5</v>
      </c>
    </row>
    <row r="73" spans="10:16" x14ac:dyDescent="0.35">
      <c r="J73" s="2">
        <v>1991</v>
      </c>
      <c r="K73" s="24" t="s">
        <v>43</v>
      </c>
      <c r="L73" s="6">
        <v>1025</v>
      </c>
      <c r="M73" s="6">
        <v>38.6</v>
      </c>
      <c r="N73" s="24" t="s">
        <v>48</v>
      </c>
      <c r="O73" s="6">
        <v>1040</v>
      </c>
      <c r="P73" s="6">
        <v>35.299999999999997</v>
      </c>
    </row>
    <row r="74" spans="10:16" x14ac:dyDescent="0.35">
      <c r="J74" s="2">
        <v>1991</v>
      </c>
      <c r="K74" s="24" t="s">
        <v>44</v>
      </c>
      <c r="L74" s="6">
        <v>1092</v>
      </c>
      <c r="M74" s="6">
        <v>38.299999999999997</v>
      </c>
      <c r="N74" s="24" t="s">
        <v>49</v>
      </c>
      <c r="O74" s="6">
        <v>1093</v>
      </c>
      <c r="P74" s="6">
        <v>33.299999999999997</v>
      </c>
    </row>
    <row r="75" spans="10:16" x14ac:dyDescent="0.35">
      <c r="J75" s="2">
        <v>1991</v>
      </c>
      <c r="K75" s="24" t="s">
        <v>45</v>
      </c>
      <c r="L75" s="6">
        <v>1100</v>
      </c>
      <c r="M75" s="6">
        <v>37.700000000000003</v>
      </c>
      <c r="N75" s="24" t="s">
        <v>50</v>
      </c>
      <c r="O75" s="6">
        <v>1159</v>
      </c>
      <c r="P75" s="6">
        <v>30.8</v>
      </c>
    </row>
    <row r="76" spans="10:16" x14ac:dyDescent="0.35">
      <c r="J76" s="2">
        <v>1991</v>
      </c>
      <c r="K76" s="24" t="s">
        <v>46</v>
      </c>
      <c r="L76" s="6">
        <v>1153</v>
      </c>
      <c r="M76" s="6">
        <v>35.200000000000003</v>
      </c>
      <c r="N76" s="24" t="s">
        <v>51</v>
      </c>
      <c r="O76" s="6">
        <v>1210</v>
      </c>
      <c r="P76" s="6">
        <v>29.2</v>
      </c>
    </row>
    <row r="77" spans="10:16" x14ac:dyDescent="0.35">
      <c r="J77" s="2">
        <v>1991</v>
      </c>
      <c r="K77" s="24" t="s">
        <v>47</v>
      </c>
      <c r="L77" s="6">
        <v>1162</v>
      </c>
      <c r="M77" s="6">
        <v>34.5</v>
      </c>
      <c r="N77" s="24" t="s">
        <v>52</v>
      </c>
      <c r="O77" s="6">
        <v>396</v>
      </c>
      <c r="P77" s="6">
        <v>28.1</v>
      </c>
    </row>
    <row r="78" spans="10:16" x14ac:dyDescent="0.35">
      <c r="J78" s="2">
        <v>1992</v>
      </c>
      <c r="K78" s="24" t="s">
        <v>42</v>
      </c>
      <c r="L78" s="6">
        <v>1065</v>
      </c>
      <c r="M78" s="6">
        <v>39.1</v>
      </c>
      <c r="N78" s="24" t="s">
        <v>48</v>
      </c>
      <c r="O78" s="6">
        <v>1462</v>
      </c>
      <c r="P78" s="6">
        <v>37.299999999999997</v>
      </c>
    </row>
    <row r="79" spans="10:16" x14ac:dyDescent="0.35">
      <c r="J79" s="2">
        <v>1992</v>
      </c>
      <c r="K79" s="24" t="s">
        <v>43</v>
      </c>
      <c r="L79" s="6">
        <v>1036</v>
      </c>
      <c r="M79" s="6">
        <v>39.299999999999997</v>
      </c>
      <c r="N79" s="24" t="s">
        <v>49</v>
      </c>
      <c r="O79" s="6">
        <v>1018</v>
      </c>
      <c r="P79" s="6">
        <v>36.1</v>
      </c>
    </row>
    <row r="80" spans="10:16" x14ac:dyDescent="0.35">
      <c r="J80" s="2">
        <v>1992</v>
      </c>
      <c r="K80" s="24" t="s">
        <v>44</v>
      </c>
      <c r="L80" s="6">
        <v>1033</v>
      </c>
      <c r="M80" s="6">
        <v>38.5</v>
      </c>
      <c r="N80" s="24" t="s">
        <v>50</v>
      </c>
      <c r="O80" s="6">
        <v>1092</v>
      </c>
      <c r="P80" s="6">
        <v>33.9</v>
      </c>
    </row>
    <row r="81" spans="10:16" x14ac:dyDescent="0.35">
      <c r="J81" s="2">
        <v>1992</v>
      </c>
      <c r="K81" s="24" t="s">
        <v>45</v>
      </c>
      <c r="L81" s="6">
        <v>1091</v>
      </c>
      <c r="M81" s="6">
        <v>38.4</v>
      </c>
      <c r="N81" s="24" t="s">
        <v>51</v>
      </c>
      <c r="O81" s="6">
        <v>1097</v>
      </c>
      <c r="P81" s="6">
        <v>32.299999999999997</v>
      </c>
    </row>
    <row r="82" spans="10:16" x14ac:dyDescent="0.35">
      <c r="J82" s="2">
        <v>1992</v>
      </c>
      <c r="K82" s="24" t="s">
        <v>46</v>
      </c>
      <c r="L82" s="6">
        <v>1513</v>
      </c>
      <c r="M82" s="6">
        <v>32.5</v>
      </c>
      <c r="N82" s="24" t="s">
        <v>52</v>
      </c>
      <c r="O82" s="6">
        <v>371</v>
      </c>
      <c r="P82" s="6">
        <v>27.4</v>
      </c>
    </row>
    <row r="83" spans="10:16" x14ac:dyDescent="0.35">
      <c r="J83" s="2">
        <v>1992</v>
      </c>
      <c r="K83" s="24" t="s">
        <v>47</v>
      </c>
      <c r="L83" s="6">
        <v>909</v>
      </c>
      <c r="M83" s="6">
        <v>36.6</v>
      </c>
      <c r="N83" s="24" t="s">
        <v>48</v>
      </c>
      <c r="O83" s="6">
        <v>1176</v>
      </c>
      <c r="P83" s="6">
        <v>37</v>
      </c>
    </row>
    <row r="84" spans="10:16" x14ac:dyDescent="0.35">
      <c r="J84" s="2">
        <v>1993</v>
      </c>
      <c r="K84" s="24" t="s">
        <v>42</v>
      </c>
      <c r="L84" s="6">
        <v>1008</v>
      </c>
      <c r="M84" s="6">
        <v>37.799999999999997</v>
      </c>
      <c r="N84" s="24" t="s">
        <v>49</v>
      </c>
      <c r="O84" s="6">
        <v>1494</v>
      </c>
      <c r="P84" s="6">
        <v>36.1</v>
      </c>
    </row>
    <row r="85" spans="10:16" x14ac:dyDescent="0.35">
      <c r="J85" s="2">
        <v>1993</v>
      </c>
      <c r="K85" s="24" t="s">
        <v>43</v>
      </c>
      <c r="L85" s="6">
        <v>1078</v>
      </c>
      <c r="M85" s="6">
        <v>38.700000000000003</v>
      </c>
      <c r="N85" s="24" t="s">
        <v>50</v>
      </c>
      <c r="O85" s="6">
        <v>1056</v>
      </c>
      <c r="P85" s="6">
        <v>35.4</v>
      </c>
    </row>
    <row r="86" spans="10:16" x14ac:dyDescent="0.35">
      <c r="J86" s="2">
        <v>1993</v>
      </c>
      <c r="K86" s="24" t="s">
        <v>44</v>
      </c>
      <c r="L86" s="6">
        <v>1051</v>
      </c>
      <c r="M86" s="6">
        <v>38.9</v>
      </c>
      <c r="N86" s="24" t="s">
        <v>51</v>
      </c>
      <c r="O86" s="6">
        <v>1107</v>
      </c>
      <c r="P86" s="6">
        <v>32.700000000000003</v>
      </c>
    </row>
    <row r="87" spans="10:16" x14ac:dyDescent="0.35">
      <c r="J87" s="2">
        <v>1993</v>
      </c>
      <c r="K87" s="24" t="s">
        <v>45</v>
      </c>
      <c r="L87" s="6">
        <v>1052</v>
      </c>
      <c r="M87" s="6">
        <v>38</v>
      </c>
      <c r="N87" s="24" t="s">
        <v>52</v>
      </c>
      <c r="O87" s="6">
        <v>357</v>
      </c>
      <c r="P87" s="6">
        <v>27.8</v>
      </c>
    </row>
    <row r="88" spans="10:16" x14ac:dyDescent="0.35">
      <c r="J88" s="2">
        <v>1993</v>
      </c>
      <c r="K88" s="24" t="s">
        <v>46</v>
      </c>
      <c r="L88" s="6">
        <v>1334</v>
      </c>
      <c r="M88" s="6">
        <v>31.6</v>
      </c>
      <c r="N88" s="24" t="s">
        <v>48</v>
      </c>
      <c r="O88" s="6">
        <v>1119</v>
      </c>
      <c r="P88" s="6">
        <v>36.5</v>
      </c>
    </row>
    <row r="89" spans="10:16" x14ac:dyDescent="0.35">
      <c r="J89" s="2">
        <v>1993</v>
      </c>
      <c r="K89" s="24" t="s">
        <v>47</v>
      </c>
      <c r="L89" s="6">
        <v>1575</v>
      </c>
      <c r="M89" s="6">
        <v>32.1</v>
      </c>
      <c r="N89" s="24" t="s">
        <v>49</v>
      </c>
      <c r="O89" s="6">
        <v>1218</v>
      </c>
      <c r="P89" s="6">
        <v>35.9</v>
      </c>
    </row>
    <row r="90" spans="10:16" x14ac:dyDescent="0.35">
      <c r="J90" s="2">
        <v>1994</v>
      </c>
      <c r="K90" s="24" t="s">
        <v>42</v>
      </c>
      <c r="L90" s="6">
        <v>1123</v>
      </c>
      <c r="M90" s="6">
        <v>38.9</v>
      </c>
      <c r="N90" s="24" t="s">
        <v>50</v>
      </c>
      <c r="O90" s="6">
        <v>1521</v>
      </c>
      <c r="P90" s="6">
        <v>35.1</v>
      </c>
    </row>
    <row r="91" spans="10:16" x14ac:dyDescent="0.35">
      <c r="J91" s="2">
        <v>1994</v>
      </c>
      <c r="K91" s="24" t="s">
        <v>43</v>
      </c>
      <c r="L91" s="6">
        <v>1010</v>
      </c>
      <c r="M91" s="6">
        <v>37.9</v>
      </c>
      <c r="N91" s="24" t="s">
        <v>51</v>
      </c>
      <c r="O91" s="6">
        <v>1053</v>
      </c>
      <c r="P91" s="6">
        <v>34.5</v>
      </c>
    </row>
    <row r="92" spans="10:16" x14ac:dyDescent="0.35">
      <c r="J92" s="2">
        <v>1994</v>
      </c>
      <c r="K92" s="24" t="s">
        <v>44</v>
      </c>
      <c r="L92" s="6">
        <v>1087</v>
      </c>
      <c r="M92" s="6">
        <v>38.700000000000003</v>
      </c>
      <c r="N92" s="24" t="s">
        <v>52</v>
      </c>
      <c r="O92" s="6">
        <v>370</v>
      </c>
      <c r="P92" s="6">
        <v>28.1</v>
      </c>
    </row>
    <row r="93" spans="10:16" x14ac:dyDescent="0.35">
      <c r="J93" s="2">
        <v>1994</v>
      </c>
      <c r="K93" s="24" t="s">
        <v>45</v>
      </c>
      <c r="L93" s="6">
        <v>1073</v>
      </c>
      <c r="M93" s="6">
        <v>38.299999999999997</v>
      </c>
      <c r="N93" s="24" t="s">
        <v>48</v>
      </c>
      <c r="O93" s="6">
        <v>1124</v>
      </c>
      <c r="P93" s="6">
        <v>37</v>
      </c>
    </row>
    <row r="94" spans="10:16" x14ac:dyDescent="0.35">
      <c r="J94" s="2">
        <v>1994</v>
      </c>
      <c r="K94" s="24" t="s">
        <v>46</v>
      </c>
      <c r="L94" s="6">
        <v>1090</v>
      </c>
      <c r="M94" s="6">
        <v>36.9</v>
      </c>
      <c r="N94" s="24" t="s">
        <v>49</v>
      </c>
      <c r="O94" s="6">
        <v>1154</v>
      </c>
      <c r="P94" s="6">
        <v>35.5</v>
      </c>
    </row>
    <row r="95" spans="10:16" x14ac:dyDescent="0.35">
      <c r="J95" s="2">
        <v>1994</v>
      </c>
      <c r="K95" s="24" t="s">
        <v>47</v>
      </c>
      <c r="L95" s="6">
        <v>1271</v>
      </c>
      <c r="M95" s="6">
        <v>35.9</v>
      </c>
      <c r="N95" s="24" t="s">
        <v>50</v>
      </c>
      <c r="O95" s="6">
        <v>1280</v>
      </c>
      <c r="P95" s="6">
        <v>34.9</v>
      </c>
    </row>
    <row r="96" spans="10:16" x14ac:dyDescent="0.35">
      <c r="J96" s="2">
        <v>1995</v>
      </c>
      <c r="K96" s="24" t="s">
        <v>42</v>
      </c>
      <c r="L96" s="6">
        <v>1358</v>
      </c>
      <c r="M96" s="6">
        <v>39.1</v>
      </c>
      <c r="N96" s="24" t="s">
        <v>51</v>
      </c>
      <c r="O96" s="6">
        <v>1516</v>
      </c>
      <c r="P96" s="6">
        <v>33.299999999999997</v>
      </c>
    </row>
    <row r="97" spans="10:16" x14ac:dyDescent="0.35">
      <c r="J97" s="2">
        <v>1995</v>
      </c>
      <c r="K97" s="24" t="s">
        <v>43</v>
      </c>
      <c r="L97" s="6">
        <v>1149</v>
      </c>
      <c r="M97" s="6">
        <v>38.200000000000003</v>
      </c>
      <c r="N97" s="24" t="s">
        <v>52</v>
      </c>
      <c r="O97" s="6">
        <v>343</v>
      </c>
      <c r="P97" s="6">
        <v>28.4</v>
      </c>
    </row>
    <row r="98" spans="10:16" x14ac:dyDescent="0.35">
      <c r="J98" s="2">
        <v>1995</v>
      </c>
      <c r="K98" s="24" t="s">
        <v>44</v>
      </c>
      <c r="L98" s="6">
        <v>1035</v>
      </c>
      <c r="M98" s="6">
        <v>37.299999999999997</v>
      </c>
      <c r="N98" s="24" t="s">
        <v>48</v>
      </c>
      <c r="O98" s="6">
        <v>1132</v>
      </c>
      <c r="P98" s="6">
        <v>37.4</v>
      </c>
    </row>
    <row r="99" spans="10:16" x14ac:dyDescent="0.35">
      <c r="J99" s="2">
        <v>1995</v>
      </c>
      <c r="K99" s="24" t="s">
        <v>45</v>
      </c>
      <c r="L99" s="6">
        <v>1114</v>
      </c>
      <c r="M99" s="6">
        <v>37.9</v>
      </c>
      <c r="N99" s="24" t="s">
        <v>49</v>
      </c>
      <c r="O99" s="6">
        <v>1165</v>
      </c>
      <c r="P99" s="6">
        <v>35.700000000000003</v>
      </c>
    </row>
    <row r="100" spans="10:16" x14ac:dyDescent="0.35">
      <c r="J100" s="2">
        <v>1995</v>
      </c>
      <c r="K100" s="24" t="s">
        <v>46</v>
      </c>
      <c r="L100" s="6">
        <v>1139</v>
      </c>
      <c r="M100" s="6">
        <v>36.200000000000003</v>
      </c>
      <c r="N100" s="24" t="s">
        <v>50</v>
      </c>
      <c r="O100" s="6">
        <v>1216</v>
      </c>
      <c r="P100" s="6">
        <v>34.4</v>
      </c>
    </row>
    <row r="101" spans="10:16" x14ac:dyDescent="0.35">
      <c r="J101" s="2">
        <v>1995</v>
      </c>
      <c r="K101" s="24" t="s">
        <v>47</v>
      </c>
      <c r="L101" s="6">
        <v>1203</v>
      </c>
      <c r="M101" s="6">
        <v>35.4</v>
      </c>
      <c r="N101" s="24" t="s">
        <v>51</v>
      </c>
      <c r="O101" s="6">
        <v>1299</v>
      </c>
      <c r="P101" s="6">
        <v>32.799999999999997</v>
      </c>
    </row>
    <row r="102" spans="10:16" x14ac:dyDescent="0.35">
      <c r="J102" s="2">
        <v>1996</v>
      </c>
      <c r="K102" s="24" t="s">
        <v>42</v>
      </c>
      <c r="L102" s="6">
        <v>1234</v>
      </c>
      <c r="M102" s="6">
        <v>39</v>
      </c>
      <c r="N102" s="24" t="s">
        <v>52</v>
      </c>
      <c r="O102" s="6">
        <v>405</v>
      </c>
      <c r="P102" s="6">
        <v>26</v>
      </c>
    </row>
    <row r="103" spans="10:16" x14ac:dyDescent="0.35">
      <c r="J103" s="2">
        <v>1996</v>
      </c>
      <c r="K103" s="24" t="s">
        <v>43</v>
      </c>
      <c r="L103" s="6">
        <v>1379</v>
      </c>
      <c r="M103" s="6">
        <v>38.700000000000003</v>
      </c>
      <c r="N103" s="24" t="s">
        <v>48</v>
      </c>
      <c r="O103" s="6">
        <v>1056</v>
      </c>
      <c r="P103" s="6">
        <v>36.9</v>
      </c>
    </row>
    <row r="104" spans="10:16" x14ac:dyDescent="0.35">
      <c r="J104" s="2">
        <v>1996</v>
      </c>
      <c r="K104" s="24" t="s">
        <v>44</v>
      </c>
      <c r="L104" s="6">
        <v>1166</v>
      </c>
      <c r="M104" s="6">
        <v>37.799999999999997</v>
      </c>
      <c r="N104" s="24" t="s">
        <v>49</v>
      </c>
      <c r="O104" s="6">
        <v>1166</v>
      </c>
      <c r="P104" s="6">
        <v>36.5</v>
      </c>
    </row>
    <row r="105" spans="10:16" x14ac:dyDescent="0.35">
      <c r="J105" s="2">
        <v>1996</v>
      </c>
      <c r="K105" s="24" t="s">
        <v>45</v>
      </c>
      <c r="L105" s="6">
        <v>1056</v>
      </c>
      <c r="M105" s="6">
        <v>36.700000000000003</v>
      </c>
      <c r="N105" s="24" t="s">
        <v>50</v>
      </c>
      <c r="O105" s="6">
        <v>1233</v>
      </c>
      <c r="P105" s="6">
        <v>35</v>
      </c>
    </row>
    <row r="106" spans="10:16" x14ac:dyDescent="0.35">
      <c r="J106" s="2">
        <v>1996</v>
      </c>
      <c r="K106" s="24" t="s">
        <v>46</v>
      </c>
      <c r="L106" s="6">
        <v>1173</v>
      </c>
      <c r="M106" s="6">
        <v>36.1</v>
      </c>
      <c r="N106" s="24" t="s">
        <v>51</v>
      </c>
      <c r="O106" s="6">
        <v>1224</v>
      </c>
      <c r="P106" s="6">
        <v>32.700000000000003</v>
      </c>
    </row>
    <row r="107" spans="10:16" x14ac:dyDescent="0.35">
      <c r="J107" s="2">
        <v>1996</v>
      </c>
      <c r="K107" s="24" t="s">
        <v>47</v>
      </c>
      <c r="L107" s="6">
        <v>1231</v>
      </c>
      <c r="M107" s="6">
        <v>34.9</v>
      </c>
      <c r="N107" s="24" t="s">
        <v>52</v>
      </c>
      <c r="O107" s="6">
        <v>309</v>
      </c>
      <c r="P107" s="6">
        <v>26.8</v>
      </c>
    </row>
    <row r="108" spans="10:16" x14ac:dyDescent="0.35">
      <c r="J108" s="2">
        <v>1997</v>
      </c>
      <c r="K108" s="24" t="s">
        <v>42</v>
      </c>
      <c r="L108" s="6">
        <v>1313</v>
      </c>
      <c r="M108" s="6">
        <v>39.200000000000003</v>
      </c>
      <c r="N108" s="24" t="s">
        <v>48</v>
      </c>
      <c r="O108" s="6">
        <v>1174</v>
      </c>
      <c r="P108" s="6">
        <v>37.9</v>
      </c>
    </row>
    <row r="109" spans="10:16" x14ac:dyDescent="0.35">
      <c r="J109" s="2">
        <v>1997</v>
      </c>
      <c r="K109" s="24" t="s">
        <v>43</v>
      </c>
      <c r="L109" s="6">
        <v>1255</v>
      </c>
      <c r="M109" s="6">
        <v>38.4</v>
      </c>
      <c r="N109" s="24" t="s">
        <v>49</v>
      </c>
      <c r="O109" s="6">
        <v>1083</v>
      </c>
      <c r="P109" s="6">
        <v>36.1</v>
      </c>
    </row>
    <row r="110" spans="10:16" x14ac:dyDescent="0.35">
      <c r="J110" s="2">
        <v>1997</v>
      </c>
      <c r="K110" s="24" t="s">
        <v>44</v>
      </c>
      <c r="L110" s="6">
        <v>1387</v>
      </c>
      <c r="M110" s="6">
        <v>38.700000000000003</v>
      </c>
      <c r="N110" s="24" t="s">
        <v>50</v>
      </c>
      <c r="O110" s="6">
        <v>1237</v>
      </c>
      <c r="P110" s="6">
        <v>35.4</v>
      </c>
    </row>
    <row r="111" spans="10:16" x14ac:dyDescent="0.35">
      <c r="J111" s="2">
        <v>1997</v>
      </c>
      <c r="K111" s="24" t="s">
        <v>45</v>
      </c>
      <c r="L111" s="6">
        <v>1184</v>
      </c>
      <c r="M111" s="6">
        <v>37.299999999999997</v>
      </c>
      <c r="N111" s="24" t="s">
        <v>51</v>
      </c>
      <c r="O111" s="6">
        <v>1229</v>
      </c>
      <c r="P111" s="6">
        <v>33.6</v>
      </c>
    </row>
    <row r="112" spans="10:16" x14ac:dyDescent="0.35">
      <c r="J112" s="2">
        <v>1997</v>
      </c>
      <c r="K112" s="24" t="s">
        <v>46</v>
      </c>
      <c r="L112" s="6">
        <v>1096</v>
      </c>
      <c r="M112" s="6">
        <v>35.5</v>
      </c>
      <c r="N112" s="24" t="s">
        <v>52</v>
      </c>
      <c r="O112" s="6">
        <v>265</v>
      </c>
      <c r="P112" s="6">
        <v>28.1</v>
      </c>
    </row>
    <row r="113" spans="10:16" x14ac:dyDescent="0.35">
      <c r="J113" s="2">
        <v>1997</v>
      </c>
      <c r="K113" s="24" t="s">
        <v>47</v>
      </c>
      <c r="L113" s="6">
        <v>1238</v>
      </c>
      <c r="M113" s="6">
        <v>35.200000000000003</v>
      </c>
      <c r="N113" s="24" t="s">
        <v>48</v>
      </c>
      <c r="O113" s="6">
        <v>1378</v>
      </c>
      <c r="P113" s="6">
        <v>38.6</v>
      </c>
    </row>
    <row r="114" spans="10:16" x14ac:dyDescent="0.35">
      <c r="J114" s="2">
        <v>1998</v>
      </c>
      <c r="K114" s="24" t="s">
        <v>42</v>
      </c>
      <c r="L114" s="6">
        <v>1294</v>
      </c>
      <c r="M114" s="6">
        <v>38.5</v>
      </c>
      <c r="N114" s="24" t="s">
        <v>49</v>
      </c>
      <c r="O114" s="6">
        <v>1212</v>
      </c>
      <c r="P114" s="6">
        <v>36.799999999999997</v>
      </c>
    </row>
    <row r="115" spans="10:16" x14ac:dyDescent="0.35">
      <c r="J115" s="2">
        <v>1998</v>
      </c>
      <c r="K115" s="24" t="s">
        <v>43</v>
      </c>
      <c r="L115" s="6">
        <v>1335</v>
      </c>
      <c r="M115" s="6">
        <v>38.799999999999997</v>
      </c>
      <c r="N115" s="24" t="s">
        <v>50</v>
      </c>
      <c r="O115" s="6">
        <v>1159</v>
      </c>
      <c r="P115" s="6">
        <v>34.799999999999997</v>
      </c>
    </row>
    <row r="116" spans="10:16" x14ac:dyDescent="0.35">
      <c r="J116" s="2">
        <v>1998</v>
      </c>
      <c r="K116" s="24" t="s">
        <v>44</v>
      </c>
      <c r="L116" s="6">
        <v>1270</v>
      </c>
      <c r="M116" s="6">
        <v>38.200000000000003</v>
      </c>
      <c r="N116" s="24" t="s">
        <v>51</v>
      </c>
      <c r="O116" s="6">
        <v>1229</v>
      </c>
      <c r="P116" s="6">
        <v>34</v>
      </c>
    </row>
    <row r="117" spans="10:16" x14ac:dyDescent="0.35">
      <c r="J117" s="2">
        <v>1998</v>
      </c>
      <c r="K117" s="24" t="s">
        <v>45</v>
      </c>
      <c r="L117" s="6">
        <v>1407</v>
      </c>
      <c r="M117" s="6">
        <v>38.200000000000003</v>
      </c>
      <c r="N117" s="24" t="s">
        <v>52</v>
      </c>
      <c r="O117" s="6">
        <v>257</v>
      </c>
      <c r="P117" s="6">
        <v>30.9</v>
      </c>
    </row>
    <row r="118" spans="10:16" x14ac:dyDescent="0.35">
      <c r="J118" s="2">
        <v>1998</v>
      </c>
      <c r="K118" s="24" t="s">
        <v>46</v>
      </c>
      <c r="L118" s="6">
        <v>1221</v>
      </c>
      <c r="M118" s="6">
        <v>36.299999999999997</v>
      </c>
      <c r="N118" s="24" t="s">
        <v>48</v>
      </c>
      <c r="O118" s="6">
        <v>1276</v>
      </c>
      <c r="P118" s="6">
        <v>38.700000000000003</v>
      </c>
    </row>
    <row r="119" spans="10:16" x14ac:dyDescent="0.35">
      <c r="J119" s="2">
        <v>1998</v>
      </c>
      <c r="K119" s="24" t="s">
        <v>47</v>
      </c>
      <c r="L119" s="6">
        <v>1157</v>
      </c>
      <c r="M119" s="6">
        <v>34.700000000000003</v>
      </c>
      <c r="N119" s="24" t="s">
        <v>49</v>
      </c>
      <c r="O119" s="6">
        <v>1414</v>
      </c>
      <c r="P119" s="6">
        <v>37.799999999999997</v>
      </c>
    </row>
    <row r="120" spans="10:16" x14ac:dyDescent="0.35">
      <c r="J120" s="2">
        <v>1999</v>
      </c>
      <c r="K120" s="24" t="s">
        <v>42</v>
      </c>
      <c r="L120" s="6">
        <v>1296</v>
      </c>
      <c r="M120" s="6">
        <v>38.5</v>
      </c>
      <c r="N120" s="24" t="s">
        <v>50</v>
      </c>
      <c r="O120" s="6">
        <v>1279</v>
      </c>
      <c r="P120" s="6">
        <v>35.799999999999997</v>
      </c>
    </row>
    <row r="121" spans="10:16" x14ac:dyDescent="0.35">
      <c r="J121" s="2">
        <v>1999</v>
      </c>
      <c r="K121" s="24" t="s">
        <v>43</v>
      </c>
      <c r="L121" s="6">
        <v>1334</v>
      </c>
      <c r="M121" s="6">
        <v>37.4</v>
      </c>
      <c r="N121" s="24" t="s">
        <v>51</v>
      </c>
      <c r="O121" s="6">
        <v>1148</v>
      </c>
      <c r="P121" s="6">
        <v>33.1</v>
      </c>
    </row>
    <row r="122" spans="10:16" x14ac:dyDescent="0.35">
      <c r="J122" s="2">
        <v>1999</v>
      </c>
      <c r="K122" s="24" t="s">
        <v>44</v>
      </c>
      <c r="L122" s="6">
        <v>1372</v>
      </c>
      <c r="M122" s="6">
        <v>38</v>
      </c>
      <c r="N122" s="24" t="s">
        <v>52</v>
      </c>
      <c r="O122" s="6">
        <v>264</v>
      </c>
      <c r="P122" s="6">
        <v>30.9</v>
      </c>
    </row>
    <row r="123" spans="10:16" x14ac:dyDescent="0.35">
      <c r="J123" s="2">
        <v>1999</v>
      </c>
      <c r="K123" s="24" t="s">
        <v>45</v>
      </c>
      <c r="L123" s="6">
        <v>1318</v>
      </c>
      <c r="M123" s="6">
        <v>37</v>
      </c>
      <c r="N123" s="24" t="s">
        <v>48</v>
      </c>
      <c r="O123" s="6">
        <v>1351</v>
      </c>
      <c r="P123" s="6">
        <v>38.5</v>
      </c>
    </row>
    <row r="124" spans="10:16" x14ac:dyDescent="0.35">
      <c r="J124" s="2">
        <v>1999</v>
      </c>
      <c r="K124" s="24" t="s">
        <v>46</v>
      </c>
      <c r="L124" s="6">
        <v>1460</v>
      </c>
      <c r="M124" s="6">
        <v>36.9</v>
      </c>
      <c r="N124" s="24" t="s">
        <v>49</v>
      </c>
      <c r="O124" s="6">
        <v>1303</v>
      </c>
      <c r="P124" s="6">
        <v>37.9</v>
      </c>
    </row>
    <row r="125" spans="10:16" x14ac:dyDescent="0.35">
      <c r="J125" s="2">
        <v>1999</v>
      </c>
      <c r="K125" s="24" t="s">
        <v>47</v>
      </c>
      <c r="L125" s="6">
        <v>1281</v>
      </c>
      <c r="M125" s="6">
        <v>35.6</v>
      </c>
      <c r="N125" s="24" t="s">
        <v>50</v>
      </c>
      <c r="O125" s="6">
        <v>1489</v>
      </c>
      <c r="P125" s="6">
        <v>36.700000000000003</v>
      </c>
    </row>
    <row r="126" spans="10:16" x14ac:dyDescent="0.35">
      <c r="J126" s="2">
        <v>2000</v>
      </c>
      <c r="K126" s="24" t="s">
        <v>42</v>
      </c>
      <c r="L126" s="6">
        <v>1299</v>
      </c>
      <c r="M126" s="6">
        <v>38.700000000000003</v>
      </c>
      <c r="N126" s="24" t="s">
        <v>51</v>
      </c>
      <c r="O126" s="6">
        <v>1266</v>
      </c>
      <c r="P126" s="6">
        <v>34.1</v>
      </c>
    </row>
    <row r="127" spans="10:16" x14ac:dyDescent="0.35">
      <c r="J127" s="2">
        <v>2000</v>
      </c>
      <c r="K127" s="24" t="s">
        <v>43</v>
      </c>
      <c r="L127" s="6">
        <v>1312</v>
      </c>
      <c r="M127" s="6">
        <v>38</v>
      </c>
      <c r="N127" s="24" t="s">
        <v>52</v>
      </c>
      <c r="O127" s="6">
        <v>241</v>
      </c>
      <c r="P127" s="6">
        <v>30.3</v>
      </c>
    </row>
    <row r="128" spans="10:16" x14ac:dyDescent="0.35">
      <c r="J128" s="2">
        <v>2000</v>
      </c>
      <c r="K128" s="24" t="s">
        <v>44</v>
      </c>
      <c r="L128" s="6">
        <v>1326</v>
      </c>
      <c r="M128" s="6">
        <v>37.700000000000003</v>
      </c>
      <c r="N128" s="24" t="s">
        <v>48</v>
      </c>
      <c r="O128" s="6">
        <v>1313</v>
      </c>
      <c r="P128" s="6">
        <v>38.4</v>
      </c>
    </row>
    <row r="129" spans="10:16" x14ac:dyDescent="0.35">
      <c r="J129" s="2">
        <v>2000</v>
      </c>
      <c r="K129" s="24" t="s">
        <v>45</v>
      </c>
      <c r="L129" s="6">
        <v>1378</v>
      </c>
      <c r="M129" s="6">
        <v>37.9</v>
      </c>
      <c r="N129" s="24" t="s">
        <v>49</v>
      </c>
      <c r="O129" s="6">
        <v>1378</v>
      </c>
      <c r="P129" s="6">
        <v>37.799999999999997</v>
      </c>
    </row>
    <row r="130" spans="10:16" x14ac:dyDescent="0.35">
      <c r="J130" s="2">
        <v>2000</v>
      </c>
      <c r="K130" s="24" t="s">
        <v>46</v>
      </c>
      <c r="L130" s="6">
        <v>1359</v>
      </c>
      <c r="M130" s="6">
        <v>35.9</v>
      </c>
      <c r="N130" s="24" t="s">
        <v>50</v>
      </c>
      <c r="O130" s="6">
        <v>1397</v>
      </c>
      <c r="P130" s="6">
        <v>36.5</v>
      </c>
    </row>
    <row r="131" spans="10:16" x14ac:dyDescent="0.35">
      <c r="J131" s="2">
        <v>2000</v>
      </c>
      <c r="K131" s="24" t="s">
        <v>47</v>
      </c>
      <c r="L131" s="6">
        <v>1522</v>
      </c>
      <c r="M131" s="6">
        <v>36</v>
      </c>
      <c r="N131" s="24" t="s">
        <v>51</v>
      </c>
      <c r="O131" s="6">
        <v>1470</v>
      </c>
      <c r="P131" s="6">
        <v>35.299999999999997</v>
      </c>
    </row>
    <row r="132" spans="10:16" x14ac:dyDescent="0.35">
      <c r="J132" s="2">
        <v>2001</v>
      </c>
      <c r="K132" s="24" t="s">
        <v>42</v>
      </c>
      <c r="L132" s="6">
        <v>1285</v>
      </c>
      <c r="M132" s="6">
        <v>38.700000000000003</v>
      </c>
      <c r="N132" s="24" t="s">
        <v>52</v>
      </c>
      <c r="O132" s="6">
        <v>263</v>
      </c>
      <c r="P132" s="6">
        <v>30.8</v>
      </c>
    </row>
    <row r="133" spans="10:16" x14ac:dyDescent="0.35">
      <c r="J133" s="2">
        <v>2001</v>
      </c>
      <c r="K133" s="24" t="s">
        <v>43</v>
      </c>
      <c r="L133" s="6">
        <v>1311</v>
      </c>
      <c r="M133" s="6">
        <v>38.299999999999997</v>
      </c>
      <c r="N133" s="24" t="s">
        <v>48</v>
      </c>
      <c r="O133" s="6">
        <v>1335</v>
      </c>
      <c r="P133" s="6">
        <v>37.6</v>
      </c>
    </row>
    <row r="134" spans="10:16" x14ac:dyDescent="0.35">
      <c r="J134" s="2">
        <v>2001</v>
      </c>
      <c r="K134" s="24" t="s">
        <v>44</v>
      </c>
      <c r="L134" s="6">
        <v>1310</v>
      </c>
      <c r="M134" s="6">
        <v>38.1</v>
      </c>
      <c r="N134" s="24" t="s">
        <v>49</v>
      </c>
      <c r="O134" s="6">
        <v>1339</v>
      </c>
      <c r="P134" s="6">
        <v>38</v>
      </c>
    </row>
    <row r="135" spans="10:16" x14ac:dyDescent="0.35">
      <c r="J135" s="2">
        <v>2001</v>
      </c>
      <c r="K135" s="24" t="s">
        <v>45</v>
      </c>
      <c r="L135" s="6">
        <v>1347</v>
      </c>
      <c r="M135" s="6">
        <v>37.200000000000003</v>
      </c>
      <c r="N135" s="24" t="s">
        <v>50</v>
      </c>
      <c r="O135" s="6">
        <v>1473</v>
      </c>
      <c r="P135" s="6">
        <v>36.6</v>
      </c>
    </row>
    <row r="136" spans="10:16" x14ac:dyDescent="0.35">
      <c r="J136" s="2">
        <v>2001</v>
      </c>
      <c r="K136" s="24" t="s">
        <v>46</v>
      </c>
      <c r="L136" s="6">
        <v>1429</v>
      </c>
      <c r="M136" s="6">
        <v>36.6</v>
      </c>
      <c r="N136" s="24" t="s">
        <v>51</v>
      </c>
      <c r="O136" s="6">
        <v>1383</v>
      </c>
      <c r="P136" s="6">
        <v>35</v>
      </c>
    </row>
    <row r="137" spans="10:16" x14ac:dyDescent="0.35">
      <c r="J137" s="2">
        <v>2001</v>
      </c>
      <c r="K137" s="24" t="s">
        <v>47</v>
      </c>
      <c r="L137" s="6">
        <v>1406</v>
      </c>
      <c r="M137" s="6">
        <v>35.9</v>
      </c>
      <c r="N137" s="24" t="s">
        <v>52</v>
      </c>
      <c r="O137" s="6">
        <v>307</v>
      </c>
      <c r="P137" s="6">
        <v>31.3</v>
      </c>
    </row>
    <row r="138" spans="10:16" x14ac:dyDescent="0.35">
      <c r="J138" s="2">
        <v>2002</v>
      </c>
      <c r="K138" s="24" t="s">
        <v>42</v>
      </c>
      <c r="L138" s="6">
        <v>1275</v>
      </c>
      <c r="M138" s="6">
        <v>38.4</v>
      </c>
      <c r="N138" s="24" t="s">
        <v>48</v>
      </c>
      <c r="O138" s="6">
        <v>1340</v>
      </c>
      <c r="P138" s="6">
        <v>37.9</v>
      </c>
    </row>
    <row r="139" spans="10:16" x14ac:dyDescent="0.35">
      <c r="J139" s="2">
        <v>2002</v>
      </c>
      <c r="K139" s="24" t="s">
        <v>43</v>
      </c>
      <c r="L139" s="6">
        <v>1288</v>
      </c>
      <c r="M139" s="6">
        <v>38.700000000000003</v>
      </c>
      <c r="N139" s="24" t="s">
        <v>49</v>
      </c>
      <c r="O139" s="6">
        <v>1360</v>
      </c>
      <c r="P139" s="6">
        <v>37.4</v>
      </c>
    </row>
    <row r="140" spans="10:16" x14ac:dyDescent="0.35">
      <c r="J140" s="2">
        <v>2002</v>
      </c>
      <c r="K140" s="24" t="s">
        <v>44</v>
      </c>
      <c r="L140" s="6">
        <v>1306</v>
      </c>
      <c r="M140" s="6">
        <v>38.6</v>
      </c>
      <c r="N140" s="24" t="s">
        <v>50</v>
      </c>
      <c r="O140" s="6">
        <v>1454</v>
      </c>
      <c r="P140" s="6">
        <v>36.5</v>
      </c>
    </row>
    <row r="141" spans="10:16" x14ac:dyDescent="0.35">
      <c r="J141" s="2">
        <v>2002</v>
      </c>
      <c r="K141" s="24" t="s">
        <v>45</v>
      </c>
      <c r="L141" s="6">
        <v>1322</v>
      </c>
      <c r="M141" s="6">
        <v>37.799999999999997</v>
      </c>
      <c r="N141" s="24" t="s">
        <v>51</v>
      </c>
      <c r="O141" s="6">
        <v>1462</v>
      </c>
      <c r="P141" s="6">
        <v>35.200000000000003</v>
      </c>
    </row>
    <row r="142" spans="10:16" x14ac:dyDescent="0.35">
      <c r="J142" s="2">
        <v>2002</v>
      </c>
      <c r="K142" s="24" t="s">
        <v>46</v>
      </c>
      <c r="L142" s="6">
        <v>1373</v>
      </c>
      <c r="M142" s="6">
        <v>36.6</v>
      </c>
      <c r="N142" s="24" t="s">
        <v>52</v>
      </c>
      <c r="O142" s="6">
        <v>288</v>
      </c>
      <c r="P142" s="6">
        <v>31.3</v>
      </c>
    </row>
    <row r="143" spans="10:16" x14ac:dyDescent="0.35">
      <c r="J143" s="2">
        <v>2002</v>
      </c>
      <c r="K143" s="24" t="s">
        <v>47</v>
      </c>
      <c r="L143" s="6">
        <v>1476</v>
      </c>
      <c r="M143" s="6">
        <v>36.1</v>
      </c>
      <c r="N143" s="24" t="s">
        <v>48</v>
      </c>
      <c r="O143" s="6">
        <v>1338</v>
      </c>
      <c r="P143" s="6">
        <v>37.9</v>
      </c>
    </row>
    <row r="144" spans="10:16" x14ac:dyDescent="0.35">
      <c r="J144" s="2">
        <v>2003</v>
      </c>
      <c r="K144" s="24" t="s">
        <v>42</v>
      </c>
      <c r="L144" s="6">
        <v>1269</v>
      </c>
      <c r="M144" s="6">
        <v>38.6</v>
      </c>
      <c r="N144" s="24" t="s">
        <v>49</v>
      </c>
      <c r="O144" s="6">
        <v>1382</v>
      </c>
      <c r="P144" s="6">
        <v>37.6</v>
      </c>
    </row>
    <row r="145" spans="10:16" x14ac:dyDescent="0.35">
      <c r="J145" s="2">
        <v>2003</v>
      </c>
      <c r="K145" s="24" t="s">
        <v>43</v>
      </c>
      <c r="L145" s="6">
        <v>1270</v>
      </c>
      <c r="M145" s="6">
        <v>38.6</v>
      </c>
      <c r="N145" s="24" t="s">
        <v>50</v>
      </c>
      <c r="O145" s="6">
        <v>1454</v>
      </c>
      <c r="P145" s="6">
        <v>36.9</v>
      </c>
    </row>
    <row r="146" spans="10:16" x14ac:dyDescent="0.35">
      <c r="J146" s="2">
        <v>2003</v>
      </c>
      <c r="K146" s="24" t="s">
        <v>44</v>
      </c>
      <c r="L146" s="6">
        <v>1288</v>
      </c>
      <c r="M146" s="6">
        <v>38.799999999999997</v>
      </c>
      <c r="N146" s="24" t="s">
        <v>51</v>
      </c>
      <c r="O146" s="6">
        <v>1457</v>
      </c>
      <c r="P146" s="6">
        <v>35.4</v>
      </c>
    </row>
    <row r="147" spans="10:16" x14ac:dyDescent="0.35">
      <c r="J147" s="2">
        <v>2003</v>
      </c>
      <c r="K147" s="24" t="s">
        <v>45</v>
      </c>
      <c r="L147" s="6">
        <v>1322</v>
      </c>
      <c r="M147" s="6">
        <v>38.200000000000003</v>
      </c>
      <c r="N147" s="24" t="s">
        <v>52</v>
      </c>
      <c r="O147" s="6">
        <v>305</v>
      </c>
      <c r="P147" s="6">
        <v>33.299999999999997</v>
      </c>
    </row>
    <row r="148" spans="10:16" x14ac:dyDescent="0.35">
      <c r="J148" s="2">
        <v>2003</v>
      </c>
      <c r="K148" s="24" t="s">
        <v>46</v>
      </c>
      <c r="L148" s="6">
        <v>1362</v>
      </c>
      <c r="M148" s="6">
        <v>36.799999999999997</v>
      </c>
      <c r="N148" s="24" t="s">
        <v>48</v>
      </c>
      <c r="O148" s="6">
        <v>1337</v>
      </c>
      <c r="P148" s="6">
        <v>37.6</v>
      </c>
    </row>
    <row r="149" spans="10:16" x14ac:dyDescent="0.35">
      <c r="J149" s="2">
        <v>2003</v>
      </c>
      <c r="K149" s="24" t="s">
        <v>47</v>
      </c>
      <c r="L149" s="6">
        <v>1433</v>
      </c>
      <c r="M149" s="6">
        <v>35.799999999999997</v>
      </c>
      <c r="N149" s="24" t="s">
        <v>49</v>
      </c>
      <c r="O149" s="6">
        <v>1383</v>
      </c>
      <c r="P149" s="6">
        <v>37.5</v>
      </c>
    </row>
    <row r="150" spans="10:16" x14ac:dyDescent="0.35">
      <c r="J150" s="2">
        <v>2004</v>
      </c>
      <c r="K150" s="24" t="s">
        <v>42</v>
      </c>
      <c r="L150" s="6">
        <v>1232</v>
      </c>
      <c r="M150" s="6">
        <v>38.4</v>
      </c>
      <c r="N150" s="24" t="s">
        <v>50</v>
      </c>
      <c r="O150" s="6">
        <v>1475</v>
      </c>
      <c r="P150" s="6">
        <v>37</v>
      </c>
    </row>
    <row r="151" spans="10:16" x14ac:dyDescent="0.35">
      <c r="J151" s="2">
        <v>2004</v>
      </c>
      <c r="K151" s="24" t="s">
        <v>43</v>
      </c>
      <c r="L151" s="6">
        <v>1269</v>
      </c>
      <c r="M151" s="6">
        <v>38.5</v>
      </c>
      <c r="N151" s="24" t="s">
        <v>51</v>
      </c>
      <c r="O151" s="6">
        <v>1445</v>
      </c>
      <c r="P151" s="6">
        <v>35.200000000000003</v>
      </c>
    </row>
    <row r="152" spans="10:16" x14ac:dyDescent="0.35">
      <c r="J152" s="2">
        <v>2004</v>
      </c>
      <c r="K152" s="24" t="s">
        <v>44</v>
      </c>
      <c r="L152" s="6">
        <v>1269</v>
      </c>
      <c r="M152" s="6">
        <v>38.6</v>
      </c>
      <c r="N152" s="24" t="s">
        <v>52</v>
      </c>
      <c r="O152" s="6">
        <v>294</v>
      </c>
      <c r="P152" s="6">
        <v>32.5</v>
      </c>
    </row>
    <row r="153" spans="10:16" x14ac:dyDescent="0.35">
      <c r="J153" s="2">
        <v>2004</v>
      </c>
      <c r="K153" s="24" t="s">
        <v>45</v>
      </c>
      <c r="L153" s="6">
        <v>1310</v>
      </c>
      <c r="M153" s="6">
        <v>38.1</v>
      </c>
      <c r="N153" s="24" t="s">
        <v>48</v>
      </c>
      <c r="O153" s="6">
        <v>1339</v>
      </c>
      <c r="P153" s="6">
        <v>37</v>
      </c>
    </row>
    <row r="154" spans="10:16" x14ac:dyDescent="0.35">
      <c r="J154" s="2">
        <v>2004</v>
      </c>
      <c r="K154" s="24" t="s">
        <v>46</v>
      </c>
      <c r="L154" s="6">
        <v>1375</v>
      </c>
      <c r="M154" s="6">
        <v>36.700000000000003</v>
      </c>
      <c r="N154" s="24" t="s">
        <v>49</v>
      </c>
      <c r="O154" s="6">
        <v>1366</v>
      </c>
      <c r="P154" s="6">
        <v>37</v>
      </c>
    </row>
    <row r="155" spans="10:16" x14ac:dyDescent="0.35">
      <c r="J155" s="2">
        <v>2004</v>
      </c>
      <c r="K155" s="24" t="s">
        <v>47</v>
      </c>
      <c r="L155" s="6">
        <v>1418</v>
      </c>
      <c r="M155" s="6">
        <v>35.9</v>
      </c>
      <c r="N155" s="24" t="s">
        <v>50</v>
      </c>
      <c r="O155" s="6">
        <v>1464</v>
      </c>
      <c r="P155" s="6">
        <v>37</v>
      </c>
    </row>
    <row r="156" spans="10:16" x14ac:dyDescent="0.35">
      <c r="J156" s="2">
        <v>2005</v>
      </c>
      <c r="K156" s="24" t="s">
        <v>42</v>
      </c>
      <c r="L156" s="6">
        <v>1478</v>
      </c>
      <c r="M156" s="6">
        <v>29.4</v>
      </c>
      <c r="N156" s="24" t="s">
        <v>51</v>
      </c>
      <c r="O156" s="6">
        <v>1482</v>
      </c>
      <c r="P156" s="6">
        <v>35</v>
      </c>
    </row>
    <row r="157" spans="10:16" x14ac:dyDescent="0.35">
      <c r="J157" s="2">
        <v>2005</v>
      </c>
      <c r="K157" s="24" t="s">
        <v>43</v>
      </c>
      <c r="L157" s="6">
        <v>1237</v>
      </c>
      <c r="M157" s="6">
        <v>38.299999999999997</v>
      </c>
      <c r="N157" s="24" t="s">
        <v>52</v>
      </c>
      <c r="O157" s="6">
        <v>294</v>
      </c>
      <c r="P157" s="6">
        <v>32</v>
      </c>
    </row>
    <row r="158" spans="10:16" x14ac:dyDescent="0.35">
      <c r="J158" s="2">
        <v>2005</v>
      </c>
      <c r="K158" s="24" t="s">
        <v>44</v>
      </c>
      <c r="L158" s="6">
        <v>1273</v>
      </c>
      <c r="M158" s="6">
        <v>38.5</v>
      </c>
      <c r="N158" s="24" t="s">
        <v>48</v>
      </c>
      <c r="O158" s="6">
        <v>1302</v>
      </c>
      <c r="P158" s="6">
        <v>37.4</v>
      </c>
    </row>
    <row r="159" spans="10:16" x14ac:dyDescent="0.35">
      <c r="J159" s="2">
        <v>2005</v>
      </c>
      <c r="K159" s="24" t="s">
        <v>45</v>
      </c>
      <c r="L159" s="6">
        <v>1293</v>
      </c>
      <c r="M159" s="6">
        <v>38.1</v>
      </c>
      <c r="N159" s="24" t="s">
        <v>49</v>
      </c>
      <c r="O159" s="6">
        <v>1356</v>
      </c>
      <c r="P159" s="6">
        <v>37.6</v>
      </c>
    </row>
    <row r="160" spans="10:16" x14ac:dyDescent="0.35">
      <c r="J160" s="2">
        <v>2005</v>
      </c>
      <c r="K160" s="24" t="s">
        <v>46</v>
      </c>
      <c r="L160" s="6">
        <v>1345</v>
      </c>
      <c r="M160" s="6">
        <v>37.200000000000003</v>
      </c>
      <c r="N160" s="24" t="s">
        <v>50</v>
      </c>
      <c r="O160" s="6">
        <v>1455</v>
      </c>
      <c r="P160" s="6">
        <v>36.5</v>
      </c>
    </row>
    <row r="161" spans="10:16" x14ac:dyDescent="0.35">
      <c r="J161" s="2">
        <v>2005</v>
      </c>
      <c r="K161" s="24" t="s">
        <v>47</v>
      </c>
      <c r="L161" s="6">
        <v>1410</v>
      </c>
      <c r="M161" s="6">
        <v>36.299999999999997</v>
      </c>
      <c r="N161" s="24" t="s">
        <v>51</v>
      </c>
      <c r="O161" s="6">
        <v>1469</v>
      </c>
      <c r="P161" s="6">
        <v>35.4</v>
      </c>
    </row>
    <row r="162" spans="10:16" x14ac:dyDescent="0.35">
      <c r="J162" s="2">
        <v>2006</v>
      </c>
      <c r="K162" s="24" t="s">
        <v>42</v>
      </c>
      <c r="L162" s="6">
        <v>1489</v>
      </c>
      <c r="M162" s="6">
        <v>29.5</v>
      </c>
      <c r="N162" s="24" t="s">
        <v>52</v>
      </c>
      <c r="O162" s="6">
        <v>283</v>
      </c>
      <c r="P162" s="6">
        <v>33.700000000000003</v>
      </c>
    </row>
    <row r="163" spans="10:16" x14ac:dyDescent="0.35">
      <c r="J163" s="2">
        <v>2006</v>
      </c>
      <c r="K163" s="24" t="s">
        <v>43</v>
      </c>
      <c r="L163" s="6">
        <v>1483</v>
      </c>
      <c r="M163" s="6">
        <v>29.4</v>
      </c>
      <c r="N163" s="24" t="s">
        <v>48</v>
      </c>
      <c r="O163" s="6">
        <v>1227</v>
      </c>
      <c r="P163" s="6">
        <v>36.799999999999997</v>
      </c>
    </row>
    <row r="164" spans="10:16" x14ac:dyDescent="0.35">
      <c r="J164" s="2">
        <v>2006</v>
      </c>
      <c r="K164" s="24" t="s">
        <v>44</v>
      </c>
      <c r="L164" s="6">
        <v>1234</v>
      </c>
      <c r="M164" s="6">
        <v>38.700000000000003</v>
      </c>
      <c r="N164" s="24" t="s">
        <v>49</v>
      </c>
      <c r="O164" s="6">
        <v>1321</v>
      </c>
      <c r="P164" s="6">
        <v>37.4</v>
      </c>
    </row>
    <row r="165" spans="10:16" x14ac:dyDescent="0.35">
      <c r="J165" s="2">
        <v>2006</v>
      </c>
      <c r="K165" s="24" t="s">
        <v>45</v>
      </c>
      <c r="L165" s="6">
        <v>1300</v>
      </c>
      <c r="M165" s="6">
        <v>38</v>
      </c>
      <c r="N165" s="24" t="s">
        <v>50</v>
      </c>
      <c r="O165" s="6">
        <v>1455</v>
      </c>
      <c r="P165" s="6">
        <v>36.4</v>
      </c>
    </row>
    <row r="166" spans="10:16" x14ac:dyDescent="0.35">
      <c r="J166" s="2">
        <v>2006</v>
      </c>
      <c r="K166" s="24" t="s">
        <v>46</v>
      </c>
      <c r="L166" s="6">
        <v>1334</v>
      </c>
      <c r="M166" s="6">
        <v>37</v>
      </c>
      <c r="N166" s="24" t="s">
        <v>51</v>
      </c>
      <c r="O166" s="6">
        <v>1447</v>
      </c>
      <c r="P166" s="6">
        <v>35.4</v>
      </c>
    </row>
    <row r="167" spans="10:16" x14ac:dyDescent="0.35">
      <c r="J167" s="2">
        <v>2006</v>
      </c>
      <c r="K167" s="24" t="s">
        <v>47</v>
      </c>
      <c r="L167" s="6">
        <v>1395</v>
      </c>
      <c r="M167" s="6">
        <v>36.299999999999997</v>
      </c>
      <c r="N167" s="24" t="s">
        <v>52</v>
      </c>
      <c r="O167" s="6">
        <v>284</v>
      </c>
      <c r="P167" s="6">
        <v>32.299999999999997</v>
      </c>
    </row>
    <row r="168" spans="10:16" x14ac:dyDescent="0.35">
      <c r="J168" s="2">
        <v>2007</v>
      </c>
      <c r="K168" s="24" t="s">
        <v>42</v>
      </c>
      <c r="L168" s="6">
        <v>1609</v>
      </c>
      <c r="M168" s="6">
        <v>29.8</v>
      </c>
      <c r="N168" s="24" t="s">
        <v>48</v>
      </c>
      <c r="O168" s="6">
        <v>1240</v>
      </c>
      <c r="P168" s="6">
        <v>36.5</v>
      </c>
    </row>
    <row r="169" spans="10:16" x14ac:dyDescent="0.35">
      <c r="J169" s="2">
        <v>2007</v>
      </c>
      <c r="K169" s="24" t="s">
        <v>43</v>
      </c>
      <c r="L169" s="6">
        <v>1492</v>
      </c>
      <c r="M169" s="6">
        <v>29.7</v>
      </c>
      <c r="N169" s="24" t="s">
        <v>49</v>
      </c>
      <c r="O169" s="6">
        <v>1242</v>
      </c>
      <c r="P169" s="6">
        <v>36.799999999999997</v>
      </c>
    </row>
    <row r="170" spans="10:16" x14ac:dyDescent="0.35">
      <c r="J170" s="2">
        <v>2007</v>
      </c>
      <c r="K170" s="24" t="s">
        <v>44</v>
      </c>
      <c r="L170" s="6">
        <v>1167</v>
      </c>
      <c r="M170" s="6">
        <v>38.1</v>
      </c>
      <c r="N170" s="24" t="s">
        <v>50</v>
      </c>
      <c r="O170" s="6">
        <v>1410</v>
      </c>
      <c r="P170" s="6">
        <v>36</v>
      </c>
    </row>
    <row r="171" spans="10:16" x14ac:dyDescent="0.35">
      <c r="J171" s="2">
        <v>2007</v>
      </c>
      <c r="K171" s="24" t="s">
        <v>45</v>
      </c>
      <c r="L171" s="6">
        <v>1264</v>
      </c>
      <c r="M171" s="6">
        <v>38.200000000000003</v>
      </c>
      <c r="N171" s="24" t="s">
        <v>51</v>
      </c>
      <c r="O171" s="6">
        <v>1459</v>
      </c>
      <c r="P171" s="6">
        <v>35.200000000000003</v>
      </c>
    </row>
    <row r="172" spans="10:16" x14ac:dyDescent="0.35">
      <c r="J172" s="2">
        <v>2007</v>
      </c>
      <c r="K172" s="24" t="s">
        <v>46</v>
      </c>
      <c r="L172" s="6">
        <v>1334</v>
      </c>
      <c r="M172" s="6">
        <v>37.299999999999997</v>
      </c>
      <c r="N172" s="24" t="s">
        <v>52</v>
      </c>
      <c r="O172" s="6">
        <v>287</v>
      </c>
      <c r="P172" s="6">
        <v>33.1</v>
      </c>
    </row>
    <row r="173" spans="10:16" x14ac:dyDescent="0.35">
      <c r="J173" s="2">
        <v>2007</v>
      </c>
      <c r="K173" s="24" t="s">
        <v>47</v>
      </c>
      <c r="L173" s="6">
        <v>1381</v>
      </c>
      <c r="M173" s="6">
        <v>36.299999999999997</v>
      </c>
      <c r="N173" s="24" t="s">
        <v>48</v>
      </c>
      <c r="O173" s="6">
        <v>1307</v>
      </c>
      <c r="P173" s="6">
        <v>36.799999999999997</v>
      </c>
    </row>
    <row r="174" spans="10:16" x14ac:dyDescent="0.35">
      <c r="J174" s="2">
        <v>2008</v>
      </c>
      <c r="K174" s="24" t="s">
        <v>42</v>
      </c>
      <c r="L174" s="6">
        <v>1442</v>
      </c>
      <c r="M174" s="6">
        <v>29.7</v>
      </c>
      <c r="N174" s="24" t="s">
        <v>49</v>
      </c>
      <c r="O174" s="6">
        <v>1255</v>
      </c>
      <c r="P174" s="6">
        <v>36.299999999999997</v>
      </c>
    </row>
    <row r="175" spans="10:16" x14ac:dyDescent="0.35">
      <c r="J175" s="2">
        <v>2008</v>
      </c>
      <c r="K175" s="24" t="s">
        <v>43</v>
      </c>
      <c r="L175" s="6">
        <v>1614</v>
      </c>
      <c r="M175" s="6">
        <v>29.7</v>
      </c>
      <c r="N175" s="24" t="s">
        <v>50</v>
      </c>
      <c r="O175" s="6">
        <v>1323</v>
      </c>
      <c r="P175" s="6">
        <v>35.299999999999997</v>
      </c>
    </row>
    <row r="176" spans="10:16" x14ac:dyDescent="0.35">
      <c r="J176" s="2">
        <v>2008</v>
      </c>
      <c r="K176" s="24" t="s">
        <v>44</v>
      </c>
      <c r="L176" s="6">
        <v>1187</v>
      </c>
      <c r="M176" s="6">
        <v>37.9</v>
      </c>
      <c r="N176" s="24" t="s">
        <v>51</v>
      </c>
      <c r="O176" s="6">
        <v>1412</v>
      </c>
      <c r="P176" s="6">
        <v>34.799999999999997</v>
      </c>
    </row>
    <row r="177" spans="10:16" x14ac:dyDescent="0.35">
      <c r="J177" s="2">
        <v>2008</v>
      </c>
      <c r="K177" s="24" t="s">
        <v>45</v>
      </c>
      <c r="L177" s="6">
        <v>1192</v>
      </c>
      <c r="M177" s="6">
        <v>37.700000000000003</v>
      </c>
      <c r="N177" s="24" t="s">
        <v>52</v>
      </c>
      <c r="O177" s="6">
        <v>277</v>
      </c>
      <c r="P177" s="6">
        <v>27.5</v>
      </c>
    </row>
    <row r="178" spans="10:16" x14ac:dyDescent="0.35">
      <c r="J178" s="2">
        <v>2008</v>
      </c>
      <c r="K178" s="24" t="s">
        <v>46</v>
      </c>
      <c r="L178" s="6">
        <v>1294</v>
      </c>
      <c r="M178" s="6">
        <v>37.299999999999997</v>
      </c>
      <c r="N178" s="24" t="s">
        <v>48</v>
      </c>
      <c r="O178" s="6">
        <v>1211</v>
      </c>
      <c r="P178" s="6">
        <v>35.5</v>
      </c>
    </row>
    <row r="179" spans="10:16" x14ac:dyDescent="0.35">
      <c r="J179" s="2">
        <v>2008</v>
      </c>
      <c r="K179" s="24" t="s">
        <v>47</v>
      </c>
      <c r="L179" s="6">
        <v>1368</v>
      </c>
      <c r="M179" s="6">
        <v>36.700000000000003</v>
      </c>
      <c r="N179" s="24" t="s">
        <v>49</v>
      </c>
      <c r="O179" s="6">
        <v>1324</v>
      </c>
      <c r="P179" s="6">
        <v>36.5</v>
      </c>
    </row>
    <row r="180" spans="10:16" x14ac:dyDescent="0.35">
      <c r="J180" s="2">
        <v>2009</v>
      </c>
      <c r="K180" s="24" t="s">
        <v>42</v>
      </c>
      <c r="L180" s="6">
        <v>1434</v>
      </c>
      <c r="M180" s="6">
        <v>30</v>
      </c>
      <c r="N180" s="24" t="s">
        <v>50</v>
      </c>
      <c r="O180" s="6">
        <v>1342</v>
      </c>
      <c r="P180" s="6">
        <v>34.799999999999997</v>
      </c>
    </row>
    <row r="181" spans="10:16" x14ac:dyDescent="0.35">
      <c r="J181" s="2">
        <v>2009</v>
      </c>
      <c r="K181" s="24" t="s">
        <v>43</v>
      </c>
      <c r="L181" s="6">
        <v>1445</v>
      </c>
      <c r="M181" s="6">
        <v>30</v>
      </c>
      <c r="N181" s="24" t="s">
        <v>51</v>
      </c>
      <c r="O181" s="6">
        <v>1331</v>
      </c>
      <c r="P181" s="6">
        <v>33.9</v>
      </c>
    </row>
    <row r="182" spans="10:16" x14ac:dyDescent="0.35">
      <c r="J182" s="2">
        <v>2009</v>
      </c>
      <c r="K182" s="24" t="s">
        <v>44</v>
      </c>
      <c r="L182" s="6">
        <v>1266</v>
      </c>
      <c r="M182" s="6">
        <v>38</v>
      </c>
      <c r="N182" s="24" t="s">
        <v>52</v>
      </c>
      <c r="O182" s="6">
        <v>271</v>
      </c>
      <c r="P182" s="6">
        <v>25.1</v>
      </c>
    </row>
    <row r="183" spans="10:16" x14ac:dyDescent="0.35">
      <c r="J183" s="2">
        <v>2009</v>
      </c>
      <c r="K183" s="24" t="s">
        <v>45</v>
      </c>
      <c r="L183" s="6">
        <v>1207</v>
      </c>
      <c r="M183" s="6">
        <v>37</v>
      </c>
      <c r="N183" s="24" t="s">
        <v>48</v>
      </c>
      <c r="O183" s="6">
        <v>1191</v>
      </c>
      <c r="P183" s="6">
        <v>35.4</v>
      </c>
    </row>
    <row r="184" spans="10:16" x14ac:dyDescent="0.35">
      <c r="J184" s="2">
        <v>2009</v>
      </c>
      <c r="K184" s="24" t="s">
        <v>46</v>
      </c>
      <c r="L184" s="6">
        <v>1220</v>
      </c>
      <c r="M184" s="6">
        <v>37</v>
      </c>
      <c r="N184" s="24" t="s">
        <v>49</v>
      </c>
      <c r="O184" s="6">
        <v>1228</v>
      </c>
      <c r="P184" s="6">
        <v>35.200000000000003</v>
      </c>
    </row>
    <row r="185" spans="10:16" x14ac:dyDescent="0.35">
      <c r="J185" s="2">
        <v>2009</v>
      </c>
      <c r="K185" s="24" t="s">
        <v>47</v>
      </c>
      <c r="L185" s="6">
        <v>1334</v>
      </c>
      <c r="M185" s="6">
        <v>37</v>
      </c>
      <c r="N185" s="24" t="s">
        <v>50</v>
      </c>
      <c r="O185" s="6">
        <v>1408</v>
      </c>
      <c r="P185" s="6">
        <v>34.9</v>
      </c>
    </row>
    <row r="186" spans="10:16" x14ac:dyDescent="0.35">
      <c r="J186" s="2">
        <v>2010</v>
      </c>
      <c r="K186" s="24" t="s">
        <v>42</v>
      </c>
      <c r="L186" s="6">
        <v>1336</v>
      </c>
      <c r="M186" s="6">
        <v>29.6</v>
      </c>
      <c r="N186" s="24" t="s">
        <v>51</v>
      </c>
      <c r="O186" s="6">
        <v>1353</v>
      </c>
      <c r="P186" s="6">
        <v>33.6</v>
      </c>
    </row>
    <row r="187" spans="10:16" x14ac:dyDescent="0.35">
      <c r="J187" s="2">
        <v>2010</v>
      </c>
      <c r="K187" s="24" t="s">
        <v>43</v>
      </c>
      <c r="L187" s="6">
        <v>1430</v>
      </c>
      <c r="M187" s="6">
        <v>29.7</v>
      </c>
      <c r="N187" s="24" t="s">
        <v>52</v>
      </c>
      <c r="O187" s="6">
        <v>245</v>
      </c>
      <c r="P187" s="6">
        <v>23.5</v>
      </c>
    </row>
    <row r="188" spans="10:16" x14ac:dyDescent="0.35">
      <c r="J188" s="2">
        <v>2010</v>
      </c>
      <c r="K188" s="24" t="s">
        <v>44</v>
      </c>
      <c r="L188" s="6">
        <v>1148</v>
      </c>
      <c r="M188" s="6">
        <v>37.5</v>
      </c>
      <c r="N188" s="24" t="s">
        <v>48</v>
      </c>
      <c r="O188" s="6">
        <v>1117</v>
      </c>
      <c r="P188" s="6">
        <v>35.4</v>
      </c>
    </row>
    <row r="189" spans="10:16" x14ac:dyDescent="0.35">
      <c r="J189" s="2">
        <v>2010</v>
      </c>
      <c r="K189" s="24" t="s">
        <v>45</v>
      </c>
      <c r="L189" s="6">
        <v>1284</v>
      </c>
      <c r="M189" s="6">
        <v>37.700000000000003</v>
      </c>
      <c r="N189" s="24" t="s">
        <v>49</v>
      </c>
      <c r="O189" s="6">
        <v>1197</v>
      </c>
      <c r="P189" s="6">
        <v>35.5</v>
      </c>
    </row>
    <row r="190" spans="10:16" x14ac:dyDescent="0.35">
      <c r="J190" s="2">
        <v>2010</v>
      </c>
      <c r="K190" s="24" t="s">
        <v>46</v>
      </c>
      <c r="L190" s="6">
        <v>1234</v>
      </c>
      <c r="M190" s="6">
        <v>36.6</v>
      </c>
      <c r="N190" s="24" t="s">
        <v>50</v>
      </c>
      <c r="O190" s="6">
        <v>1303</v>
      </c>
      <c r="P190" s="6">
        <v>34</v>
      </c>
    </row>
    <row r="191" spans="10:16" x14ac:dyDescent="0.35">
      <c r="J191" s="2">
        <v>2010</v>
      </c>
      <c r="K191" s="24" t="s">
        <v>47</v>
      </c>
      <c r="L191" s="6">
        <v>1260</v>
      </c>
      <c r="M191" s="6">
        <v>36</v>
      </c>
      <c r="N191" s="24" t="s">
        <v>51</v>
      </c>
      <c r="O191" s="6">
        <v>1422</v>
      </c>
      <c r="P191" s="6">
        <v>33.700000000000003</v>
      </c>
    </row>
    <row r="192" spans="10:16" x14ac:dyDescent="0.35">
      <c r="J192" s="2">
        <v>2011</v>
      </c>
      <c r="K192" s="24" t="s">
        <v>42</v>
      </c>
      <c r="L192" s="6">
        <v>1324</v>
      </c>
      <c r="M192" s="6">
        <v>29.7</v>
      </c>
      <c r="N192" s="24" t="s">
        <v>52</v>
      </c>
      <c r="O192" s="6">
        <v>240</v>
      </c>
      <c r="P192" s="6">
        <v>23.4</v>
      </c>
    </row>
    <row r="193" spans="10:16" x14ac:dyDescent="0.35">
      <c r="J193" s="2">
        <v>2011</v>
      </c>
      <c r="K193" s="24" t="s">
        <v>43</v>
      </c>
      <c r="L193" s="6">
        <v>1337</v>
      </c>
      <c r="M193" s="6">
        <v>29.5</v>
      </c>
      <c r="N193" s="24" t="s">
        <v>48</v>
      </c>
      <c r="O193" s="6">
        <v>1087</v>
      </c>
      <c r="P193" s="6">
        <v>35.9</v>
      </c>
    </row>
    <row r="194" spans="10:16" x14ac:dyDescent="0.35">
      <c r="J194" s="2">
        <v>2011</v>
      </c>
      <c r="K194" s="24" t="s">
        <v>44</v>
      </c>
      <c r="L194" s="6">
        <v>1134</v>
      </c>
      <c r="M194" s="6">
        <v>37.5</v>
      </c>
      <c r="N194" s="24" t="s">
        <v>49</v>
      </c>
      <c r="O194" s="6">
        <v>1132</v>
      </c>
      <c r="P194" s="6">
        <v>35.1</v>
      </c>
    </row>
    <row r="195" spans="10:16" x14ac:dyDescent="0.35">
      <c r="J195" s="2">
        <v>2011</v>
      </c>
      <c r="K195" s="24" t="s">
        <v>45</v>
      </c>
      <c r="L195" s="6">
        <v>1161</v>
      </c>
      <c r="M195" s="6">
        <v>37.200000000000003</v>
      </c>
      <c r="N195" s="24" t="s">
        <v>50</v>
      </c>
      <c r="O195" s="6">
        <v>1280</v>
      </c>
      <c r="P195" s="6">
        <v>33.9</v>
      </c>
    </row>
    <row r="196" spans="10:16" x14ac:dyDescent="0.35">
      <c r="J196" s="2">
        <v>2011</v>
      </c>
      <c r="K196" s="24" t="s">
        <v>46</v>
      </c>
      <c r="L196" s="6">
        <v>1301</v>
      </c>
      <c r="M196" s="6">
        <v>37.1</v>
      </c>
      <c r="N196" s="24" t="s">
        <v>51</v>
      </c>
      <c r="O196" s="6">
        <v>1320</v>
      </c>
      <c r="P196" s="6">
        <v>32.6</v>
      </c>
    </row>
    <row r="197" spans="10:16" x14ac:dyDescent="0.35">
      <c r="J197" s="2">
        <v>2011</v>
      </c>
      <c r="K197" s="24" t="s">
        <v>47</v>
      </c>
      <c r="L197" s="6">
        <v>1265</v>
      </c>
      <c r="M197" s="6">
        <v>36</v>
      </c>
      <c r="N197" s="24" t="s">
        <v>52</v>
      </c>
      <c r="O197" s="6">
        <v>241</v>
      </c>
      <c r="P197" s="6">
        <v>25</v>
      </c>
    </row>
    <row r="198" spans="10:16" x14ac:dyDescent="0.35">
      <c r="J198" s="2">
        <v>2012</v>
      </c>
      <c r="K198" s="24" t="s">
        <v>42</v>
      </c>
      <c r="L198" s="6">
        <v>1334</v>
      </c>
      <c r="M198" s="6">
        <v>29.7</v>
      </c>
      <c r="N198" s="24" t="s">
        <v>48</v>
      </c>
      <c r="O198" s="6">
        <v>1087</v>
      </c>
      <c r="P198" s="6">
        <v>36</v>
      </c>
    </row>
    <row r="199" spans="10:16" x14ac:dyDescent="0.35">
      <c r="J199" s="2">
        <v>2012</v>
      </c>
      <c r="K199" s="24" t="s">
        <v>43</v>
      </c>
      <c r="L199" s="6">
        <v>1323</v>
      </c>
      <c r="M199" s="6">
        <v>29.7</v>
      </c>
      <c r="N199" s="24" t="s">
        <v>49</v>
      </c>
      <c r="O199" s="6">
        <v>1105</v>
      </c>
      <c r="P199" s="6">
        <v>35.299999999999997</v>
      </c>
    </row>
    <row r="200" spans="10:16" x14ac:dyDescent="0.35">
      <c r="J200" s="2">
        <v>2012</v>
      </c>
      <c r="K200" s="24" t="s">
        <v>44</v>
      </c>
      <c r="L200" s="6">
        <v>1057</v>
      </c>
      <c r="M200" s="6">
        <v>37.5</v>
      </c>
      <c r="N200" s="24" t="s">
        <v>50</v>
      </c>
      <c r="O200" s="6">
        <v>1216</v>
      </c>
      <c r="P200" s="6">
        <v>33.299999999999997</v>
      </c>
    </row>
    <row r="201" spans="10:16" x14ac:dyDescent="0.35">
      <c r="J201" s="2">
        <v>2012</v>
      </c>
      <c r="K201" s="24" t="s">
        <v>45</v>
      </c>
      <c r="L201" s="6">
        <v>1155</v>
      </c>
      <c r="M201" s="6">
        <v>36.9</v>
      </c>
      <c r="N201" s="24" t="s">
        <v>51</v>
      </c>
      <c r="O201" s="6">
        <v>1288</v>
      </c>
      <c r="P201" s="6">
        <v>32.799999999999997</v>
      </c>
    </row>
    <row r="202" spans="10:16" x14ac:dyDescent="0.35">
      <c r="J202" s="2">
        <v>2012</v>
      </c>
      <c r="K202" s="24" t="s">
        <v>46</v>
      </c>
      <c r="L202" s="6">
        <v>1185</v>
      </c>
      <c r="M202" s="6">
        <v>36.299999999999997</v>
      </c>
      <c r="N202" s="24" t="s">
        <v>52</v>
      </c>
      <c r="O202" s="6">
        <v>194</v>
      </c>
      <c r="P202" s="6">
        <v>21.8</v>
      </c>
    </row>
    <row r="203" spans="10:16" x14ac:dyDescent="0.35">
      <c r="J203" s="2">
        <v>2012</v>
      </c>
      <c r="K203" s="24" t="s">
        <v>47</v>
      </c>
      <c r="L203" s="6">
        <v>1323</v>
      </c>
      <c r="M203" s="6">
        <v>36.700000000000003</v>
      </c>
      <c r="N203" s="24" t="s">
        <v>48</v>
      </c>
      <c r="O203" s="6">
        <v>1131</v>
      </c>
      <c r="P203" s="6">
        <v>35</v>
      </c>
    </row>
    <row r="204" spans="10:16" x14ac:dyDescent="0.35">
      <c r="J204" s="2">
        <v>2013</v>
      </c>
      <c r="K204" s="24" t="s">
        <v>42</v>
      </c>
      <c r="L204" s="6">
        <v>1360</v>
      </c>
      <c r="M204" s="6">
        <v>29.5</v>
      </c>
      <c r="N204" s="24" t="s">
        <v>49</v>
      </c>
      <c r="O204" s="6">
        <v>1113</v>
      </c>
      <c r="P204" s="6">
        <v>35.200000000000003</v>
      </c>
    </row>
    <row r="205" spans="10:16" x14ac:dyDescent="0.35">
      <c r="J205" s="2">
        <v>2013</v>
      </c>
      <c r="K205" s="24" t="s">
        <v>43</v>
      </c>
      <c r="L205" s="6">
        <v>1333</v>
      </c>
      <c r="M205" s="6">
        <v>29.6</v>
      </c>
      <c r="N205" s="24" t="s">
        <v>50</v>
      </c>
      <c r="O205" s="6">
        <v>1207</v>
      </c>
      <c r="P205" s="6">
        <v>32.9</v>
      </c>
    </row>
    <row r="206" spans="10:16" x14ac:dyDescent="0.35">
      <c r="J206" s="2">
        <v>2013</v>
      </c>
      <c r="K206" s="24" t="s">
        <v>44</v>
      </c>
      <c r="L206" s="6">
        <v>1068</v>
      </c>
      <c r="M206" s="6">
        <v>36.799999999999997</v>
      </c>
      <c r="N206" s="24" t="s">
        <v>51</v>
      </c>
      <c r="O206" s="6">
        <v>1237</v>
      </c>
      <c r="P206" s="6">
        <v>31.9</v>
      </c>
    </row>
    <row r="207" spans="10:16" x14ac:dyDescent="0.35">
      <c r="J207" s="2">
        <v>2013</v>
      </c>
      <c r="K207" s="24" t="s">
        <v>45</v>
      </c>
      <c r="L207" s="6">
        <v>1086</v>
      </c>
      <c r="M207" s="6">
        <v>36.4</v>
      </c>
      <c r="N207" s="24" t="s">
        <v>52</v>
      </c>
      <c r="O207" s="6">
        <v>189</v>
      </c>
      <c r="P207" s="6">
        <v>20.2</v>
      </c>
    </row>
    <row r="208" spans="10:16" x14ac:dyDescent="0.35">
      <c r="J208" s="2">
        <v>2013</v>
      </c>
      <c r="K208" s="24" t="s">
        <v>46</v>
      </c>
      <c r="L208" s="6">
        <v>1180</v>
      </c>
      <c r="M208" s="6">
        <v>35.9</v>
      </c>
      <c r="N208" s="24" t="s">
        <v>48</v>
      </c>
      <c r="O208" s="6">
        <v>1158</v>
      </c>
      <c r="P208" s="6">
        <v>34.700000000000003</v>
      </c>
    </row>
    <row r="209" spans="10:16" x14ac:dyDescent="0.35">
      <c r="J209" s="2">
        <v>2013</v>
      </c>
      <c r="K209" s="24" t="s">
        <v>47</v>
      </c>
      <c r="L209" s="6">
        <v>1215</v>
      </c>
      <c r="M209" s="6">
        <v>35.6</v>
      </c>
      <c r="N209" s="24" t="s">
        <v>49</v>
      </c>
      <c r="O209" s="6">
        <v>1152</v>
      </c>
      <c r="P209" s="6">
        <v>34.5</v>
      </c>
    </row>
    <row r="210" spans="10:16" x14ac:dyDescent="0.35">
      <c r="J210" s="2">
        <v>2014</v>
      </c>
      <c r="K210" s="24" t="s">
        <v>42</v>
      </c>
      <c r="L210" s="6">
        <v>1383</v>
      </c>
      <c r="M210" s="6">
        <v>29.6</v>
      </c>
      <c r="N210" s="24" t="s">
        <v>50</v>
      </c>
      <c r="O210" s="6">
        <v>1204</v>
      </c>
      <c r="P210" s="6">
        <v>33.1</v>
      </c>
    </row>
    <row r="211" spans="10:16" x14ac:dyDescent="0.35">
      <c r="J211" s="2">
        <v>2014</v>
      </c>
      <c r="K211" s="24" t="s">
        <v>43</v>
      </c>
      <c r="L211" s="6">
        <v>1357</v>
      </c>
      <c r="M211" s="6">
        <v>29.6</v>
      </c>
      <c r="N211" s="24" t="s">
        <v>51</v>
      </c>
      <c r="O211" s="6">
        <v>1210</v>
      </c>
      <c r="P211" s="6">
        <v>32.1</v>
      </c>
    </row>
    <row r="212" spans="10:16" x14ac:dyDescent="0.35">
      <c r="J212" s="2">
        <v>2014</v>
      </c>
      <c r="K212" s="24" t="s">
        <v>44</v>
      </c>
      <c r="L212" s="6">
        <v>1068</v>
      </c>
      <c r="M212" s="6">
        <v>36.9</v>
      </c>
      <c r="N212" s="24" t="s">
        <v>52</v>
      </c>
      <c r="O212" s="6">
        <v>177</v>
      </c>
      <c r="P212" s="6">
        <v>19.7</v>
      </c>
    </row>
    <row r="213" spans="10:16" x14ac:dyDescent="0.35">
      <c r="J213" s="2">
        <v>2014</v>
      </c>
      <c r="K213" s="24" t="s">
        <v>45</v>
      </c>
      <c r="L213" s="6">
        <v>1086</v>
      </c>
      <c r="M213" s="6">
        <v>36.1</v>
      </c>
    </row>
    <row r="214" spans="10:16" x14ac:dyDescent="0.35">
      <c r="J214" s="2">
        <v>2014</v>
      </c>
      <c r="K214" s="24" t="s">
        <v>46</v>
      </c>
      <c r="L214" s="6">
        <v>1106</v>
      </c>
      <c r="M214" s="6">
        <v>35.5</v>
      </c>
    </row>
    <row r="215" spans="10:16" x14ac:dyDescent="0.35">
      <c r="J215" s="2">
        <v>2014</v>
      </c>
      <c r="K215" s="24" t="s">
        <v>47</v>
      </c>
      <c r="L215" s="6">
        <v>1196</v>
      </c>
      <c r="M215" s="6">
        <v>35.6</v>
      </c>
    </row>
    <row r="216" spans="10:16" x14ac:dyDescent="0.35">
      <c r="J216" s="2">
        <v>2015</v>
      </c>
      <c r="K216" s="24" t="s">
        <v>42</v>
      </c>
      <c r="L216" s="6">
        <v>1365</v>
      </c>
      <c r="M216" s="6">
        <v>29.4</v>
      </c>
    </row>
    <row r="217" spans="10:16" x14ac:dyDescent="0.35">
      <c r="J217" s="2">
        <v>2015</v>
      </c>
      <c r="K217" s="24" t="s">
        <v>43</v>
      </c>
      <c r="L217" s="6">
        <v>1383</v>
      </c>
      <c r="M217" s="6">
        <v>29.5</v>
      </c>
    </row>
    <row r="218" spans="10:16" x14ac:dyDescent="0.35">
      <c r="J218" s="2">
        <v>2015</v>
      </c>
      <c r="K218" s="24" t="s">
        <v>44</v>
      </c>
      <c r="L218" s="6">
        <v>1086</v>
      </c>
      <c r="M218" s="6">
        <v>37</v>
      </c>
    </row>
    <row r="219" spans="10:16" x14ac:dyDescent="0.35">
      <c r="J219" s="2">
        <v>2015</v>
      </c>
      <c r="K219" s="24" t="s">
        <v>45</v>
      </c>
      <c r="L219" s="6">
        <v>1086</v>
      </c>
      <c r="M219" s="6">
        <v>36.299999999999997</v>
      </c>
    </row>
    <row r="220" spans="10:16" x14ac:dyDescent="0.35">
      <c r="J220" s="2">
        <v>2015</v>
      </c>
      <c r="K220" s="24" t="s">
        <v>46</v>
      </c>
      <c r="L220" s="6">
        <v>1104</v>
      </c>
      <c r="M220" s="6">
        <v>35.4</v>
      </c>
    </row>
    <row r="221" spans="10:16" x14ac:dyDescent="0.35">
      <c r="J221" s="2">
        <v>2015</v>
      </c>
      <c r="K221" s="24" t="s">
        <v>47</v>
      </c>
      <c r="L221" s="6">
        <v>1117</v>
      </c>
      <c r="M221" s="6">
        <v>35.4</v>
      </c>
    </row>
    <row r="222" spans="10:16" x14ac:dyDescent="0.35">
      <c r="J222" s="2">
        <v>2016</v>
      </c>
      <c r="K222" s="24" t="s">
        <v>42</v>
      </c>
      <c r="L222" s="6">
        <v>1341</v>
      </c>
      <c r="M222" s="6">
        <v>29</v>
      </c>
    </row>
    <row r="223" spans="10:16" x14ac:dyDescent="0.35">
      <c r="J223" s="2">
        <v>2016</v>
      </c>
      <c r="K223" s="24" t="s">
        <v>43</v>
      </c>
      <c r="L223" s="6">
        <v>1365</v>
      </c>
      <c r="M223" s="6">
        <v>29.4</v>
      </c>
    </row>
    <row r="224" spans="10:16" x14ac:dyDescent="0.35">
      <c r="J224" s="2">
        <v>2016</v>
      </c>
      <c r="K224" s="24" t="s">
        <v>44</v>
      </c>
      <c r="L224" s="6">
        <v>1107</v>
      </c>
      <c r="M224" s="6">
        <v>36.799999999999997</v>
      </c>
    </row>
    <row r="225" spans="10:13" x14ac:dyDescent="0.35">
      <c r="J225" s="2">
        <v>2016</v>
      </c>
      <c r="K225" s="24" t="s">
        <v>45</v>
      </c>
      <c r="L225" s="6">
        <v>1103</v>
      </c>
      <c r="M225" s="6">
        <v>36.4</v>
      </c>
    </row>
    <row r="226" spans="10:13" x14ac:dyDescent="0.35">
      <c r="J226" s="2">
        <v>2016</v>
      </c>
      <c r="K226" s="24" t="s">
        <v>46</v>
      </c>
      <c r="L226" s="6">
        <v>1110</v>
      </c>
      <c r="M226" s="6">
        <v>35.4</v>
      </c>
    </row>
    <row r="227" spans="10:13" x14ac:dyDescent="0.35">
      <c r="J227" s="2">
        <v>2016</v>
      </c>
      <c r="K227" s="24" t="s">
        <v>47</v>
      </c>
      <c r="L227" s="6">
        <v>1117</v>
      </c>
      <c r="M227" s="6">
        <v>34.9</v>
      </c>
    </row>
    <row r="228" spans="10:13" x14ac:dyDescent="0.35">
      <c r="J228" s="2">
        <v>2017</v>
      </c>
      <c r="K228" s="24" t="s">
        <v>42</v>
      </c>
      <c r="L228" s="6">
        <v>1286</v>
      </c>
      <c r="M228" s="6">
        <v>28.7</v>
      </c>
    </row>
    <row r="229" spans="10:13" x14ac:dyDescent="0.35">
      <c r="J229" s="2">
        <v>2017</v>
      </c>
      <c r="K229" s="24" t="s">
        <v>43</v>
      </c>
      <c r="L229" s="6">
        <v>1338</v>
      </c>
      <c r="M229" s="6">
        <v>29.1</v>
      </c>
    </row>
    <row r="230" spans="10:13" x14ac:dyDescent="0.35">
      <c r="J230" s="2">
        <v>2017</v>
      </c>
      <c r="K230" s="24" t="s">
        <v>44</v>
      </c>
      <c r="L230" s="6">
        <v>1088</v>
      </c>
      <c r="M230" s="6">
        <v>36.9</v>
      </c>
    </row>
    <row r="231" spans="10:13" x14ac:dyDescent="0.35">
      <c r="J231" s="2">
        <v>2017</v>
      </c>
      <c r="K231" s="24" t="s">
        <v>45</v>
      </c>
      <c r="L231" s="6">
        <v>1126</v>
      </c>
      <c r="M231" s="6">
        <v>36.1</v>
      </c>
    </row>
    <row r="232" spans="10:13" x14ac:dyDescent="0.35">
      <c r="J232" s="2">
        <v>2017</v>
      </c>
      <c r="K232" s="24" t="s">
        <v>46</v>
      </c>
      <c r="L232" s="6">
        <v>1137</v>
      </c>
      <c r="M232" s="6">
        <v>35.1</v>
      </c>
    </row>
    <row r="233" spans="10:13" x14ac:dyDescent="0.35">
      <c r="J233" s="2">
        <v>2017</v>
      </c>
      <c r="K233" s="24" t="s">
        <v>47</v>
      </c>
      <c r="L233" s="6">
        <v>1130</v>
      </c>
      <c r="M233" s="6">
        <v>34.700000000000003</v>
      </c>
    </row>
    <row r="234" spans="10:13" x14ac:dyDescent="0.35">
      <c r="J234" s="2">
        <v>2018</v>
      </c>
      <c r="K234" s="24" t="s">
        <v>42</v>
      </c>
      <c r="L234" s="6">
        <v>1296</v>
      </c>
      <c r="M234" s="6">
        <v>29.1</v>
      </c>
    </row>
    <row r="235" spans="10:13" x14ac:dyDescent="0.35">
      <c r="J235" s="2">
        <v>2018</v>
      </c>
      <c r="K235" s="24" t="s">
        <v>43</v>
      </c>
      <c r="L235" s="6">
        <v>1283</v>
      </c>
      <c r="M235" s="6">
        <v>28.9</v>
      </c>
    </row>
    <row r="236" spans="10:13" x14ac:dyDescent="0.35">
      <c r="J236" s="2">
        <v>2018</v>
      </c>
      <c r="K236" s="24" t="s">
        <v>44</v>
      </c>
      <c r="L236" s="6">
        <v>1082</v>
      </c>
      <c r="M236" s="6">
        <v>36.200000000000003</v>
      </c>
    </row>
    <row r="237" spans="10:13" x14ac:dyDescent="0.35">
      <c r="J237" s="2">
        <v>2018</v>
      </c>
      <c r="K237" s="24" t="s">
        <v>45</v>
      </c>
      <c r="L237" s="6">
        <v>1115</v>
      </c>
      <c r="M237" s="6">
        <v>36</v>
      </c>
    </row>
    <row r="238" spans="10:13" x14ac:dyDescent="0.35">
      <c r="J238" s="2">
        <v>2018</v>
      </c>
      <c r="K238" s="24" t="s">
        <v>46</v>
      </c>
      <c r="L238" s="6">
        <v>1154</v>
      </c>
      <c r="M238" s="6">
        <v>35</v>
      </c>
    </row>
    <row r="239" spans="10:13" x14ac:dyDescent="0.35">
      <c r="J239" s="2">
        <v>2018</v>
      </c>
      <c r="K239" s="24" t="s">
        <v>47</v>
      </c>
      <c r="L239" s="6">
        <v>1159</v>
      </c>
      <c r="M239" s="6">
        <v>34.4</v>
      </c>
    </row>
    <row r="240" spans="10:13" x14ac:dyDescent="0.35">
      <c r="J240" s="2">
        <v>2019</v>
      </c>
      <c r="K240" s="24" t="s">
        <v>42</v>
      </c>
      <c r="L240" s="6">
        <v>1377</v>
      </c>
      <c r="M240" s="6">
        <v>29.3</v>
      </c>
    </row>
    <row r="241" spans="10:13" x14ac:dyDescent="0.35">
      <c r="J241" s="2">
        <v>2019</v>
      </c>
      <c r="K241" s="24" t="s">
        <v>43</v>
      </c>
      <c r="L241" s="6">
        <v>1296</v>
      </c>
      <c r="M241" s="6">
        <v>29.2</v>
      </c>
    </row>
    <row r="242" spans="10:13" x14ac:dyDescent="0.35">
      <c r="J242" s="2">
        <v>2019</v>
      </c>
      <c r="K242" s="24" t="s">
        <v>44</v>
      </c>
      <c r="L242" s="6">
        <v>1047</v>
      </c>
      <c r="M242" s="6">
        <v>35.5</v>
      </c>
    </row>
    <row r="243" spans="10:13" x14ac:dyDescent="0.35">
      <c r="J243" s="2">
        <v>2019</v>
      </c>
      <c r="K243" s="24" t="s">
        <v>45</v>
      </c>
      <c r="L243" s="6">
        <v>1096</v>
      </c>
      <c r="M243" s="6">
        <v>35.700000000000003</v>
      </c>
    </row>
    <row r="244" spans="10:13" x14ac:dyDescent="0.35">
      <c r="J244" s="2">
        <v>2019</v>
      </c>
      <c r="K244" s="24" t="s">
        <v>46</v>
      </c>
      <c r="L244" s="6">
        <v>1139</v>
      </c>
      <c r="M244" s="6">
        <v>35.200000000000003</v>
      </c>
    </row>
    <row r="245" spans="10:13" x14ac:dyDescent="0.35">
      <c r="J245" s="2">
        <v>2019</v>
      </c>
      <c r="K245" s="24" t="s">
        <v>47</v>
      </c>
      <c r="L245" s="6">
        <v>1168</v>
      </c>
      <c r="M245" s="6">
        <v>34.6</v>
      </c>
    </row>
    <row r="246" spans="10:13" x14ac:dyDescent="0.35">
      <c r="J246" s="2">
        <v>2020</v>
      </c>
      <c r="K246" s="24" t="s">
        <v>42</v>
      </c>
      <c r="L246" s="6">
        <v>1292</v>
      </c>
      <c r="M246" s="6">
        <v>28.9</v>
      </c>
    </row>
    <row r="247" spans="10:13" x14ac:dyDescent="0.35">
      <c r="J247" s="2">
        <v>2020</v>
      </c>
      <c r="K247" s="24" t="s">
        <v>43</v>
      </c>
      <c r="L247" s="6">
        <v>1377</v>
      </c>
      <c r="M247" s="6">
        <v>29.6</v>
      </c>
    </row>
    <row r="248" spans="10:13" x14ac:dyDescent="0.35">
      <c r="J248" s="2">
        <v>2020</v>
      </c>
      <c r="K248" s="24" t="s">
        <v>44</v>
      </c>
      <c r="L248" s="6">
        <v>1064</v>
      </c>
      <c r="M248" s="6">
        <v>35.700000000000003</v>
      </c>
    </row>
    <row r="249" spans="10:13" x14ac:dyDescent="0.35">
      <c r="J249" s="2">
        <v>2020</v>
      </c>
      <c r="K249" s="24" t="s">
        <v>45</v>
      </c>
      <c r="L249" s="6">
        <v>1062</v>
      </c>
      <c r="M249" s="6">
        <v>35.1</v>
      </c>
    </row>
    <row r="250" spans="10:13" x14ac:dyDescent="0.35">
      <c r="J250" s="2">
        <v>2020</v>
      </c>
      <c r="K250" s="24" t="s">
        <v>46</v>
      </c>
      <c r="L250" s="6">
        <v>1120</v>
      </c>
      <c r="M250" s="6">
        <v>34.9</v>
      </c>
    </row>
    <row r="251" spans="10:13" x14ac:dyDescent="0.35">
      <c r="J251" s="2">
        <v>2020</v>
      </c>
      <c r="K251" s="24" t="s">
        <v>47</v>
      </c>
      <c r="L251" s="6">
        <v>1149</v>
      </c>
      <c r="M251" s="6">
        <v>34.9</v>
      </c>
    </row>
  </sheetData>
  <sortState xmlns:xlrd2="http://schemas.microsoft.com/office/spreadsheetml/2017/richdata2" ref="D18:E54">
    <sortCondition ref="D18:D5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82B96-9F96-458B-AC94-AA71B7C888AB}">
  <dimension ref="A15:AW80"/>
  <sheetViews>
    <sheetView showGridLines="0" zoomScale="80" workbookViewId="0">
      <selection activeCell="O11" sqref="O11"/>
    </sheetView>
  </sheetViews>
  <sheetFormatPr defaultRowHeight="14.5" x14ac:dyDescent="0.35"/>
  <cols>
    <col min="1" max="1" width="17.26953125" bestFit="1" customWidth="1"/>
    <col min="2" max="2" width="14.90625" hidden="1" customWidth="1"/>
    <col min="3" max="3" width="17.26953125" bestFit="1" customWidth="1"/>
    <col min="4" max="4" width="19.26953125" hidden="1" customWidth="1"/>
    <col min="5" max="5" width="13.54296875" hidden="1" customWidth="1"/>
    <col min="6" max="6" width="16" bestFit="1" customWidth="1"/>
    <col min="7" max="7" width="16.1796875" bestFit="1" customWidth="1"/>
    <col min="8" max="9" width="11.54296875" customWidth="1"/>
    <col min="10" max="10" width="18.26953125" bestFit="1" customWidth="1"/>
    <col min="11" max="11" width="18.453125" bestFit="1" customWidth="1"/>
    <col min="12" max="12" width="13.7265625" bestFit="1" customWidth="1"/>
    <col min="13" max="13" width="13" hidden="1" customWidth="1"/>
    <col min="15" max="15" width="16.1796875" bestFit="1" customWidth="1"/>
    <col min="16" max="16" width="16.36328125" bestFit="1" customWidth="1"/>
    <col min="17" max="17" width="16.7265625" bestFit="1" customWidth="1"/>
    <col min="18" max="18" width="12.08984375" bestFit="1" customWidth="1"/>
    <col min="28" max="28" width="16.1796875" bestFit="1" customWidth="1"/>
    <col min="29" max="29" width="19.54296875" bestFit="1" customWidth="1"/>
    <col min="30" max="30" width="16.7265625" bestFit="1" customWidth="1"/>
    <col min="31" max="31" width="12.08984375" bestFit="1" customWidth="1"/>
    <col min="41" max="41" width="17.81640625" bestFit="1" customWidth="1"/>
    <col min="42" max="42" width="16.7265625" bestFit="1" customWidth="1"/>
    <col min="43" max="43" width="16.90625" bestFit="1" customWidth="1"/>
    <col min="44" max="44" width="17.36328125" bestFit="1" customWidth="1"/>
    <col min="45" max="45" width="16.36328125" bestFit="1" customWidth="1"/>
    <col min="46" max="46" width="19.90625" bestFit="1" customWidth="1"/>
    <col min="47" max="47" width="16.90625" bestFit="1" customWidth="1"/>
    <col min="48" max="48" width="12.90625" bestFit="1" customWidth="1"/>
    <col min="49" max="49" width="12.36328125" bestFit="1" customWidth="1"/>
  </cols>
  <sheetData>
    <row r="15" spans="1:49" ht="19" thickBot="1" x14ac:dyDescent="0.5">
      <c r="A15" s="10" t="s">
        <v>60</v>
      </c>
    </row>
    <row r="16" spans="1:49" s="9" customFormat="1" x14ac:dyDescent="0.35">
      <c r="A16" s="2" t="s">
        <v>53</v>
      </c>
      <c r="B16" s="11" t="s">
        <v>21</v>
      </c>
      <c r="C16" s="11" t="s">
        <v>58</v>
      </c>
      <c r="D16" s="11" t="s">
        <v>59</v>
      </c>
      <c r="E16" s="11" t="s">
        <v>24</v>
      </c>
      <c r="F16" s="11" t="s">
        <v>54</v>
      </c>
      <c r="G16" s="11" t="s">
        <v>56</v>
      </c>
      <c r="H16" s="15" t="s">
        <v>61</v>
      </c>
      <c r="I16" s="25" t="s">
        <v>114</v>
      </c>
      <c r="J16" s="11" t="s">
        <v>55</v>
      </c>
      <c r="K16" s="11" t="s">
        <v>57</v>
      </c>
      <c r="L16" s="15" t="s">
        <v>62</v>
      </c>
      <c r="M16" s="11" t="s">
        <v>25</v>
      </c>
      <c r="N16"/>
      <c r="O16" s="17"/>
      <c r="P16" s="17" t="s">
        <v>54</v>
      </c>
      <c r="Q16" s="17" t="s">
        <v>56</v>
      </c>
      <c r="R16" s="17" t="s">
        <v>61</v>
      </c>
      <c r="AB16" s="17"/>
      <c r="AC16" s="17" t="s">
        <v>55</v>
      </c>
      <c r="AD16" s="17" t="s">
        <v>57</v>
      </c>
      <c r="AE16" s="17" t="s">
        <v>62</v>
      </c>
      <c r="AO16" s="17"/>
      <c r="AP16" s="17" t="s">
        <v>54</v>
      </c>
      <c r="AQ16" s="17" t="s">
        <v>114</v>
      </c>
      <c r="AV16"/>
      <c r="AW16"/>
    </row>
    <row r="17" spans="1:49" x14ac:dyDescent="0.35">
      <c r="A17" s="2">
        <v>1985</v>
      </c>
      <c r="B17" s="3">
        <v>438</v>
      </c>
      <c r="C17" s="3">
        <v>251</v>
      </c>
      <c r="D17" s="3">
        <v>134</v>
      </c>
      <c r="E17" s="3">
        <v>524751</v>
      </c>
      <c r="F17" s="3">
        <v>277875</v>
      </c>
      <c r="G17" s="3">
        <v>10351</v>
      </c>
      <c r="H17" s="14">
        <f>F17/VLOOKUP(A17,Raw_Data!$R$19:$S$57,2,TRUE)</f>
        <v>40.010799136069117</v>
      </c>
      <c r="I17" s="26">
        <v>16.600000000000001</v>
      </c>
      <c r="J17" s="3">
        <v>163590</v>
      </c>
      <c r="K17" s="3">
        <v>7494</v>
      </c>
      <c r="L17" s="14">
        <f>J17/VLOOKUP(A17,Raw_Data!$U$19:$V$57,2,FALSE)</f>
        <v>32.809867629362216</v>
      </c>
      <c r="M17" s="3">
        <v>23819</v>
      </c>
      <c r="O17" t="s">
        <v>54</v>
      </c>
      <c r="P17">
        <v>1</v>
      </c>
      <c r="AB17" t="s">
        <v>55</v>
      </c>
      <c r="AC17">
        <v>1</v>
      </c>
      <c r="AO17" t="s">
        <v>54</v>
      </c>
      <c r="AP17">
        <v>1</v>
      </c>
    </row>
    <row r="18" spans="1:49" ht="15" thickBot="1" x14ac:dyDescent="0.4">
      <c r="A18" s="2">
        <v>1986</v>
      </c>
      <c r="B18" s="3">
        <v>430</v>
      </c>
      <c r="C18" s="3">
        <v>235</v>
      </c>
      <c r="D18" s="3">
        <v>140</v>
      </c>
      <c r="E18" s="3">
        <v>532684</v>
      </c>
      <c r="F18" s="3">
        <v>268668</v>
      </c>
      <c r="G18" s="3">
        <v>10256</v>
      </c>
      <c r="H18" s="14">
        <f>F18/VLOOKUP(A18,Raw_Data!$R$19:$S$57,2,TRUE)</f>
        <v>39.732031943212064</v>
      </c>
      <c r="I18" s="26">
        <v>14.8</v>
      </c>
      <c r="J18" s="3">
        <v>173538</v>
      </c>
      <c r="K18" s="3">
        <v>7521</v>
      </c>
      <c r="L18" s="14">
        <f>J18/VLOOKUP(A18,Raw_Data!$U$19:$V$57,2,FALSE)</f>
        <v>33.624878899438094</v>
      </c>
      <c r="M18" s="3">
        <v>24982</v>
      </c>
      <c r="O18" t="s">
        <v>56</v>
      </c>
      <c r="P18">
        <v>-0.55434403732488324</v>
      </c>
      <c r="Q18">
        <v>1</v>
      </c>
      <c r="AB18" t="s">
        <v>57</v>
      </c>
      <c r="AC18">
        <v>0.12181826463406099</v>
      </c>
      <c r="AD18">
        <v>1</v>
      </c>
      <c r="AO18" s="16" t="s">
        <v>114</v>
      </c>
      <c r="AP18" s="16">
        <v>0.23384000517116593</v>
      </c>
      <c r="AQ18" s="16">
        <v>1</v>
      </c>
    </row>
    <row r="19" spans="1:49" ht="15" thickBot="1" x14ac:dyDescent="0.4">
      <c r="A19" s="2">
        <v>1987</v>
      </c>
      <c r="B19" s="3">
        <v>433</v>
      </c>
      <c r="C19" s="3">
        <v>229</v>
      </c>
      <c r="D19" s="3">
        <v>143</v>
      </c>
      <c r="E19" s="3">
        <v>531633</v>
      </c>
      <c r="F19" s="3">
        <v>261399</v>
      </c>
      <c r="G19" s="3">
        <v>10190</v>
      </c>
      <c r="H19" s="14">
        <f>F19/VLOOKUP(A19,Raw_Data!$R$19:$S$57,2,TRUE)</f>
        <v>38.991497613365155</v>
      </c>
      <c r="I19" s="26">
        <v>16.600000000000001</v>
      </c>
      <c r="J19" s="3">
        <v>171617</v>
      </c>
      <c r="K19" s="3">
        <v>7933</v>
      </c>
      <c r="L19" s="14">
        <f>J19/VLOOKUP(A19,Raw_Data!$U$19:$V$57,2,FALSE)</f>
        <v>33.492779078844656</v>
      </c>
      <c r="M19" s="3">
        <v>24667</v>
      </c>
      <c r="O19" s="16" t="s">
        <v>61</v>
      </c>
      <c r="P19" s="16">
        <v>0.59946564655928392</v>
      </c>
      <c r="Q19" s="18">
        <v>-0.92753304392821356</v>
      </c>
      <c r="R19" s="16">
        <v>1</v>
      </c>
      <c r="AB19" s="16" t="s">
        <v>62</v>
      </c>
      <c r="AC19" s="20">
        <v>0.79121766124022175</v>
      </c>
      <c r="AD19" s="21">
        <v>-0.39178925463306008</v>
      </c>
      <c r="AE19" s="16">
        <v>1</v>
      </c>
    </row>
    <row r="20" spans="1:49" x14ac:dyDescent="0.35">
      <c r="A20" s="2">
        <v>1988</v>
      </c>
      <c r="B20" s="3">
        <v>430</v>
      </c>
      <c r="C20" s="3">
        <v>220</v>
      </c>
      <c r="D20" s="3">
        <v>141</v>
      </c>
      <c r="E20" s="3">
        <v>535810</v>
      </c>
      <c r="F20" s="3">
        <v>259117</v>
      </c>
      <c r="G20" s="3">
        <v>9962</v>
      </c>
      <c r="H20" s="14">
        <f>F20/VLOOKUP(A20,Raw_Data!$R$19:$S$57,2,TRUE)</f>
        <v>38.25734534179832</v>
      </c>
      <c r="I20" s="26">
        <v>19.8</v>
      </c>
      <c r="J20" s="3">
        <v>168103</v>
      </c>
      <c r="K20" s="3">
        <v>7595</v>
      </c>
      <c r="L20" s="14">
        <f>J20/VLOOKUP(A20,Raw_Data!$U$19:$V$57,2,FALSE)</f>
        <v>34.097971602434079</v>
      </c>
      <c r="M20" s="3">
        <v>24523</v>
      </c>
    </row>
    <row r="21" spans="1:49" x14ac:dyDescent="0.35">
      <c r="A21" s="2">
        <v>1989</v>
      </c>
      <c r="B21" s="3">
        <v>425</v>
      </c>
      <c r="C21" s="3">
        <v>211</v>
      </c>
      <c r="D21" s="3">
        <v>142</v>
      </c>
      <c r="E21" s="3">
        <v>536348</v>
      </c>
      <c r="F21" s="3">
        <v>257690</v>
      </c>
      <c r="G21" s="3">
        <v>9998</v>
      </c>
      <c r="H21" s="14">
        <f>F21/VLOOKUP(A21,Raw_Data!$R$19:$S$57,2,TRUE)</f>
        <v>38.238611069891675</v>
      </c>
      <c r="I21" s="26">
        <v>17.5</v>
      </c>
      <c r="J21" s="3">
        <v>165829</v>
      </c>
      <c r="K21" s="3">
        <v>7665</v>
      </c>
      <c r="L21" s="14">
        <f>J21/VLOOKUP(A21,Raw_Data!$U$19:$V$57,2,FALSE)</f>
        <v>32.804945598417412</v>
      </c>
      <c r="M21" s="3">
        <v>24982</v>
      </c>
      <c r="O21" t="s">
        <v>66</v>
      </c>
      <c r="AB21" t="s">
        <v>66</v>
      </c>
      <c r="AO21" t="s">
        <v>66</v>
      </c>
    </row>
    <row r="22" spans="1:49" ht="15" thickBot="1" x14ac:dyDescent="0.4">
      <c r="A22" s="2">
        <v>1990</v>
      </c>
      <c r="B22" s="3">
        <v>422</v>
      </c>
      <c r="C22" s="3">
        <v>207</v>
      </c>
      <c r="D22" s="3">
        <v>142</v>
      </c>
      <c r="E22" s="3">
        <v>532177</v>
      </c>
      <c r="F22" s="3">
        <v>257757</v>
      </c>
      <c r="G22" s="3">
        <v>10006</v>
      </c>
      <c r="H22" s="14">
        <f>F22/VLOOKUP(A22,Raw_Data!$R$19:$S$57,2,TRUE)</f>
        <v>38.713878041453889</v>
      </c>
      <c r="I22" s="26">
        <v>18.2</v>
      </c>
      <c r="J22" s="3">
        <v>160542</v>
      </c>
      <c r="K22" s="3">
        <v>7586</v>
      </c>
      <c r="L22" s="14">
        <f>J22/VLOOKUP(A22,Raw_Data!$U$19:$V$57,2,FALSE)</f>
        <v>32.570906877662814</v>
      </c>
      <c r="M22" s="3">
        <v>24702</v>
      </c>
    </row>
    <row r="23" spans="1:49" x14ac:dyDescent="0.35">
      <c r="A23" s="2">
        <v>1991</v>
      </c>
      <c r="B23" s="3">
        <v>412</v>
      </c>
      <c r="C23" s="3">
        <v>201</v>
      </c>
      <c r="D23" s="3">
        <v>142</v>
      </c>
      <c r="E23" s="3">
        <v>533323</v>
      </c>
      <c r="F23" s="3">
        <v>260109</v>
      </c>
      <c r="G23" s="3">
        <v>9843</v>
      </c>
      <c r="H23" s="14">
        <f>F23/VLOOKUP(A23,Raw_Data!$R$19:$S$57,2,TRUE)</f>
        <v>39.705235841856208</v>
      </c>
      <c r="I23" s="26">
        <v>17.100000000000001</v>
      </c>
      <c r="J23" s="3">
        <v>156746</v>
      </c>
      <c r="K23" s="3">
        <v>7532</v>
      </c>
      <c r="L23" s="14">
        <f>J23/VLOOKUP(A23,Raw_Data!$U$19:$V$57,2,FALSE)</f>
        <v>32.272184476013997</v>
      </c>
      <c r="M23" s="3">
        <v>25050</v>
      </c>
      <c r="O23" s="19" t="s">
        <v>67</v>
      </c>
      <c r="P23" s="19"/>
      <c r="AB23" s="19" t="s">
        <v>67</v>
      </c>
      <c r="AC23" s="19"/>
      <c r="AO23" s="19" t="s">
        <v>67</v>
      </c>
      <c r="AP23" s="19"/>
    </row>
    <row r="24" spans="1:49" x14ac:dyDescent="0.35">
      <c r="A24" s="2">
        <v>1992</v>
      </c>
      <c r="B24" s="3">
        <v>386</v>
      </c>
      <c r="C24" s="3">
        <v>193</v>
      </c>
      <c r="D24" s="3">
        <v>138</v>
      </c>
      <c r="E24" s="3">
        <v>536719</v>
      </c>
      <c r="F24" s="3">
        <v>262465</v>
      </c>
      <c r="G24" s="3">
        <v>10188</v>
      </c>
      <c r="H24" s="14">
        <f>F24/VLOOKUP(A24,Raw_Data!$R$19:$S$57,2,TRUE)</f>
        <v>39.486234391454794</v>
      </c>
      <c r="I24" s="26">
        <v>16.8</v>
      </c>
      <c r="J24" s="3">
        <v>155832</v>
      </c>
      <c r="K24" s="3">
        <v>7588</v>
      </c>
      <c r="L24" s="14">
        <f>J24/VLOOKUP(A24,Raw_Data!$U$19:$V$57,2,FALSE)</f>
        <v>31.692495424039048</v>
      </c>
      <c r="M24" s="3">
        <v>26053</v>
      </c>
      <c r="O24" t="s">
        <v>68</v>
      </c>
      <c r="P24">
        <v>0.92753304392821367</v>
      </c>
      <c r="AB24" t="s">
        <v>68</v>
      </c>
      <c r="AC24">
        <v>0.79121766124022197</v>
      </c>
      <c r="AO24" t="s">
        <v>68</v>
      </c>
      <c r="AP24">
        <v>0.2338400051711656</v>
      </c>
    </row>
    <row r="25" spans="1:49" x14ac:dyDescent="0.35">
      <c r="A25" s="2">
        <v>1993</v>
      </c>
      <c r="B25" s="3">
        <v>383</v>
      </c>
      <c r="C25" s="3">
        <v>192</v>
      </c>
      <c r="D25" s="3">
        <v>140</v>
      </c>
      <c r="E25" s="3">
        <v>539260</v>
      </c>
      <c r="F25" s="3">
        <v>261402</v>
      </c>
      <c r="G25" s="3">
        <v>10711</v>
      </c>
      <c r="H25" s="14">
        <f>F25/VLOOKUP(A25,Raw_Data!$R$19:$S$57,2,TRUE)</f>
        <v>36.827557058326292</v>
      </c>
      <c r="I25" s="26">
        <v>16.8</v>
      </c>
      <c r="J25" s="3">
        <v>155296</v>
      </c>
      <c r="K25" s="3">
        <v>7495</v>
      </c>
      <c r="L25" s="14">
        <f>J25/VLOOKUP(A25,Raw_Data!$U$19:$V$57,2,FALSE)</f>
        <v>31.706002449979582</v>
      </c>
      <c r="M25" s="3">
        <v>26710</v>
      </c>
      <c r="O25" t="s">
        <v>69</v>
      </c>
      <c r="P25">
        <v>0.86031754757873746</v>
      </c>
      <c r="AB25" t="s">
        <v>69</v>
      </c>
      <c r="AC25">
        <v>0.6260253874584466</v>
      </c>
      <c r="AO25" t="s">
        <v>69</v>
      </c>
      <c r="AP25">
        <v>5.4681148018450761E-2</v>
      </c>
    </row>
    <row r="26" spans="1:49" x14ac:dyDescent="0.35">
      <c r="A26" s="2">
        <v>1994</v>
      </c>
      <c r="B26" s="3">
        <v>388</v>
      </c>
      <c r="C26" s="3">
        <v>193</v>
      </c>
      <c r="D26" s="3">
        <v>151</v>
      </c>
      <c r="E26" s="3">
        <v>537273</v>
      </c>
      <c r="F26" s="3">
        <v>251005</v>
      </c>
      <c r="G26" s="3">
        <v>10553</v>
      </c>
      <c r="H26" s="14">
        <f>F26/VLOOKUP(A26,Raw_Data!$R$19:$S$57,2,TRUE)</f>
        <v>37.722422602945599</v>
      </c>
      <c r="I26" s="26">
        <v>16.2</v>
      </c>
      <c r="J26" s="3">
        <v>173934</v>
      </c>
      <c r="K26" s="3">
        <v>7990</v>
      </c>
      <c r="L26" s="14">
        <f>J26/VLOOKUP(A26,Raw_Data!$U$19:$V$57,2,FALSE)</f>
        <v>34.510714285714286</v>
      </c>
      <c r="M26" s="3">
        <v>27299</v>
      </c>
      <c r="O26" t="s">
        <v>70</v>
      </c>
      <c r="P26">
        <v>0.85620924015458266</v>
      </c>
      <c r="AB26" t="s">
        <v>70</v>
      </c>
      <c r="AC26">
        <v>0.6150261341484009</v>
      </c>
      <c r="AO26" t="s">
        <v>70</v>
      </c>
      <c r="AP26">
        <v>2.6877652371934603E-2</v>
      </c>
    </row>
    <row r="27" spans="1:49" x14ac:dyDescent="0.35">
      <c r="A27" s="2">
        <v>1995</v>
      </c>
      <c r="B27" s="3">
        <v>390</v>
      </c>
      <c r="C27" s="3">
        <v>198</v>
      </c>
      <c r="D27" s="3">
        <v>151</v>
      </c>
      <c r="E27" s="3">
        <v>557615</v>
      </c>
      <c r="F27" s="3">
        <v>261553</v>
      </c>
      <c r="G27" s="3">
        <v>10479</v>
      </c>
      <c r="H27" s="14">
        <f>F27/VLOOKUP(A27,Raw_Data!$R$19:$S$57,2,TRUE)</f>
        <v>37.375392969419835</v>
      </c>
      <c r="I27" s="26">
        <v>15.6</v>
      </c>
      <c r="J27" s="3">
        <v>180982</v>
      </c>
      <c r="K27" s="3">
        <v>7970</v>
      </c>
      <c r="L27" s="14">
        <f>J27/VLOOKUP(A27,Raw_Data!$U$19:$V$57,2,FALSE)</f>
        <v>34.871290944123317</v>
      </c>
      <c r="M27" s="3">
        <v>27760</v>
      </c>
      <c r="O27" t="s">
        <v>71</v>
      </c>
      <c r="P27">
        <v>1.036346380103689</v>
      </c>
      <c r="AB27" t="s">
        <v>71</v>
      </c>
      <c r="AC27">
        <v>1.2150577377841336</v>
      </c>
      <c r="AO27" t="s">
        <v>71</v>
      </c>
      <c r="AP27">
        <v>23678.319450942174</v>
      </c>
    </row>
    <row r="28" spans="1:49" ht="15" thickBot="1" x14ac:dyDescent="0.4">
      <c r="A28" s="2">
        <v>1996</v>
      </c>
      <c r="B28" s="3">
        <v>382</v>
      </c>
      <c r="C28" s="3">
        <v>197</v>
      </c>
      <c r="D28" s="3">
        <v>149</v>
      </c>
      <c r="E28" s="3">
        <v>575563</v>
      </c>
      <c r="F28" s="3">
        <v>269432</v>
      </c>
      <c r="G28" s="3">
        <v>10649</v>
      </c>
      <c r="H28" s="14">
        <f>F28/VLOOKUP(A28,Raw_Data!$R$19:$S$57,2,TRUE)</f>
        <v>37.219505456554771</v>
      </c>
      <c r="I28" s="26">
        <v>15.2</v>
      </c>
      <c r="J28" s="3">
        <v>183900</v>
      </c>
      <c r="K28" s="3">
        <v>8538</v>
      </c>
      <c r="L28" s="14">
        <f>J28/VLOOKUP(A28,Raw_Data!$U$19:$V$57,2,FALSE)</f>
        <v>34.822950198825978</v>
      </c>
      <c r="M28" s="3">
        <v>28231</v>
      </c>
      <c r="O28" s="16" t="s">
        <v>72</v>
      </c>
      <c r="P28" s="16">
        <v>36</v>
      </c>
      <c r="AB28" s="16" t="s">
        <v>72</v>
      </c>
      <c r="AC28" s="16">
        <v>36</v>
      </c>
      <c r="AO28" s="16" t="s">
        <v>72</v>
      </c>
      <c r="AP28" s="16">
        <v>36</v>
      </c>
    </row>
    <row r="29" spans="1:49" x14ac:dyDescent="0.35">
      <c r="A29" s="2">
        <v>1997</v>
      </c>
      <c r="B29" s="3">
        <v>378</v>
      </c>
      <c r="C29" s="3">
        <v>196</v>
      </c>
      <c r="D29" s="3">
        <v>147</v>
      </c>
      <c r="E29" s="3">
        <v>596675</v>
      </c>
      <c r="F29" s="3">
        <v>280314</v>
      </c>
      <c r="G29" s="3">
        <v>10577</v>
      </c>
      <c r="H29" s="14">
        <f>F29/VLOOKUP(A29,Raw_Data!$R$19:$S$57,2,TRUE)</f>
        <v>37.510236852669614</v>
      </c>
      <c r="I29" s="26">
        <v>14.5</v>
      </c>
      <c r="J29" s="3">
        <v>186752</v>
      </c>
      <c r="K29" s="3">
        <v>9429</v>
      </c>
      <c r="L29" s="14">
        <f>J29/VLOOKUP(A29,Raw_Data!$U$19:$V$57,2,FALSE)</f>
        <v>34.475170758722541</v>
      </c>
      <c r="M29" s="3">
        <v>29487</v>
      </c>
    </row>
    <row r="30" spans="1:49" ht="15" thickBot="1" x14ac:dyDescent="0.4">
      <c r="A30" s="2">
        <v>1998</v>
      </c>
      <c r="B30" s="3">
        <v>376</v>
      </c>
      <c r="C30" s="3">
        <v>193</v>
      </c>
      <c r="D30" s="3">
        <v>147</v>
      </c>
      <c r="E30" s="3">
        <v>604628</v>
      </c>
      <c r="F30" s="3">
        <v>288228</v>
      </c>
      <c r="G30" s="3">
        <v>10968</v>
      </c>
      <c r="H30" s="14">
        <f>F30/VLOOKUP(A30,Raw_Data!$R$19:$S$57,2,TRUE)</f>
        <v>37.510150963040083</v>
      </c>
      <c r="I30" s="26">
        <v>13.1</v>
      </c>
      <c r="J30" s="3">
        <v>177896</v>
      </c>
      <c r="K30" s="3">
        <v>8829</v>
      </c>
      <c r="L30" s="14">
        <f>J30/VLOOKUP(A30,Raw_Data!$U$19:$V$57,2,FALSE)</f>
        <v>34.099290780141843</v>
      </c>
      <c r="M30" s="3">
        <v>29150</v>
      </c>
      <c r="O30" t="s">
        <v>73</v>
      </c>
      <c r="AB30" t="s">
        <v>73</v>
      </c>
      <c r="AO30" t="s">
        <v>73</v>
      </c>
    </row>
    <row r="31" spans="1:49" x14ac:dyDescent="0.35">
      <c r="A31" s="2">
        <v>1999</v>
      </c>
      <c r="B31" s="3">
        <v>384</v>
      </c>
      <c r="C31" s="3">
        <v>199</v>
      </c>
      <c r="D31" s="3">
        <v>152</v>
      </c>
      <c r="E31" s="3">
        <v>621232</v>
      </c>
      <c r="F31" s="3">
        <v>299959</v>
      </c>
      <c r="G31" s="3">
        <v>11272</v>
      </c>
      <c r="H31" s="14">
        <f>F31/VLOOKUP(A31,Raw_Data!$R$19:$S$57,2,TRUE)</f>
        <v>37.211140057064881</v>
      </c>
      <c r="I31" s="26">
        <v>12.8</v>
      </c>
      <c r="J31" s="3">
        <v>172259</v>
      </c>
      <c r="K31" s="3">
        <v>8900</v>
      </c>
      <c r="L31" s="14">
        <f>J31/VLOOKUP(A31,Raw_Data!$U$19:$V$57,2,FALSE)</f>
        <v>34.534683239775461</v>
      </c>
      <c r="M31" s="3">
        <v>30145</v>
      </c>
      <c r="O31" s="17"/>
      <c r="P31" s="17" t="s">
        <v>78</v>
      </c>
      <c r="Q31" s="17" t="s">
        <v>79</v>
      </c>
      <c r="R31" s="17" t="s">
        <v>80</v>
      </c>
      <c r="S31" s="17" t="s">
        <v>81</v>
      </c>
      <c r="T31" s="17" t="s">
        <v>82</v>
      </c>
      <c r="AB31" s="17"/>
      <c r="AC31" s="17" t="s">
        <v>78</v>
      </c>
      <c r="AD31" s="17" t="s">
        <v>79</v>
      </c>
      <c r="AE31" s="17" t="s">
        <v>80</v>
      </c>
      <c r="AF31" s="17" t="s">
        <v>81</v>
      </c>
      <c r="AG31" s="17" t="s">
        <v>82</v>
      </c>
      <c r="AO31" s="17"/>
      <c r="AP31" s="17" t="s">
        <v>78</v>
      </c>
      <c r="AQ31" s="17" t="s">
        <v>79</v>
      </c>
      <c r="AR31" s="17" t="s">
        <v>80</v>
      </c>
      <c r="AS31" s="17" t="s">
        <v>81</v>
      </c>
      <c r="AT31" s="17" t="s">
        <v>82</v>
      </c>
      <c r="AV31" s="17" t="s">
        <v>88</v>
      </c>
      <c r="AW31" s="17" t="s">
        <v>89</v>
      </c>
    </row>
    <row r="32" spans="1:49" x14ac:dyDescent="0.35">
      <c r="A32" s="2">
        <v>2000</v>
      </c>
      <c r="B32" s="3">
        <v>399</v>
      </c>
      <c r="C32" s="3">
        <v>201</v>
      </c>
      <c r="D32" s="3">
        <v>163</v>
      </c>
      <c r="E32" s="3">
        <v>633426</v>
      </c>
      <c r="F32" s="3">
        <v>305705</v>
      </c>
      <c r="G32" s="3">
        <v>11923</v>
      </c>
      <c r="H32" s="14">
        <f>F32/VLOOKUP(A32,Raw_Data!$R$19:$S$57,2,TRUE)</f>
        <v>37.299292337725717</v>
      </c>
      <c r="I32" s="26">
        <v>13.7</v>
      </c>
      <c r="J32" s="3">
        <v>175405</v>
      </c>
      <c r="K32" s="3">
        <v>9132</v>
      </c>
      <c r="L32" s="14">
        <f>J32/VLOOKUP(A32,Raw_Data!$U$19:$V$57,2,FALSE)</f>
        <v>35.16539695268645</v>
      </c>
      <c r="M32" s="3">
        <v>31515</v>
      </c>
      <c r="O32" t="s">
        <v>74</v>
      </c>
      <c r="P32">
        <v>1</v>
      </c>
      <c r="Q32">
        <v>224.90842089172122</v>
      </c>
      <c r="R32">
        <v>224.90842089172122</v>
      </c>
      <c r="S32">
        <v>209.40924296962359</v>
      </c>
      <c r="T32">
        <v>4.2771197401181893E-16</v>
      </c>
      <c r="AB32" t="s">
        <v>74</v>
      </c>
      <c r="AC32">
        <v>1</v>
      </c>
      <c r="AD32">
        <v>84.027718678692523</v>
      </c>
      <c r="AE32">
        <v>84.027718678692523</v>
      </c>
      <c r="AF32">
        <v>56.915262319369788</v>
      </c>
      <c r="AG32">
        <v>9.2487425929443277E-9</v>
      </c>
      <c r="AO32" t="s">
        <v>74</v>
      </c>
      <c r="AP32">
        <v>1</v>
      </c>
      <c r="AQ32">
        <v>1102655817.1794243</v>
      </c>
      <c r="AR32">
        <v>1102655817.1794243</v>
      </c>
      <c r="AS32">
        <v>1.9667004722588701</v>
      </c>
      <c r="AT32">
        <v>0.16986357635799548</v>
      </c>
      <c r="AV32">
        <v>211541.50030368724</v>
      </c>
      <c r="AW32">
        <v>274234.20194655791</v>
      </c>
    </row>
    <row r="33" spans="1:49" ht="15" thickBot="1" x14ac:dyDescent="0.4">
      <c r="A33" s="2">
        <v>2001</v>
      </c>
      <c r="B33" s="3">
        <v>397</v>
      </c>
      <c r="C33" s="3">
        <v>197</v>
      </c>
      <c r="D33" s="3">
        <v>165</v>
      </c>
      <c r="E33" s="3">
        <v>646320</v>
      </c>
      <c r="F33" s="3">
        <v>302566</v>
      </c>
      <c r="G33" s="3">
        <v>12065</v>
      </c>
      <c r="H33" s="14">
        <f>F33/VLOOKUP(A33,Raw_Data!$R$19:$S$57,2,TRUE)</f>
        <v>37.409248269040553</v>
      </c>
      <c r="I33" s="26">
        <v>11.8</v>
      </c>
      <c r="J33" s="3">
        <v>187081</v>
      </c>
      <c r="K33" s="3">
        <v>9552</v>
      </c>
      <c r="L33" s="14">
        <f>J33/VLOOKUP(A33,Raw_Data!$U$19:$V$57,2,FALSE)</f>
        <v>35.736580706781282</v>
      </c>
      <c r="M33" s="3">
        <v>31967</v>
      </c>
      <c r="O33" t="s">
        <v>75</v>
      </c>
      <c r="P33">
        <v>34</v>
      </c>
      <c r="Q33">
        <v>36.516469864836672</v>
      </c>
      <c r="R33">
        <v>1.0740138195540199</v>
      </c>
      <c r="AB33" t="s">
        <v>75</v>
      </c>
      <c r="AC33">
        <v>34</v>
      </c>
      <c r="AD33">
        <v>50.19642040906929</v>
      </c>
      <c r="AE33">
        <v>1.4763653061490967</v>
      </c>
      <c r="AO33" t="s">
        <v>75</v>
      </c>
      <c r="AP33">
        <v>34</v>
      </c>
      <c r="AQ33">
        <v>19062535608.709461</v>
      </c>
      <c r="AR33">
        <v>560662812.02086651</v>
      </c>
      <c r="AV33" s="16">
        <v>-747.52447071235201</v>
      </c>
      <c r="AW33" s="16">
        <v>4076.3034205049134</v>
      </c>
    </row>
    <row r="34" spans="1:49" ht="15" thickBot="1" x14ac:dyDescent="0.4">
      <c r="A34" s="2">
        <v>2002</v>
      </c>
      <c r="B34" s="3">
        <v>384</v>
      </c>
      <c r="C34" s="3">
        <v>183</v>
      </c>
      <c r="D34" s="3">
        <v>166</v>
      </c>
      <c r="E34" s="3">
        <v>659680</v>
      </c>
      <c r="F34" s="3">
        <v>302501</v>
      </c>
      <c r="G34" s="3">
        <v>12423</v>
      </c>
      <c r="H34" s="14">
        <f>F34/VLOOKUP(A34,Raw_Data!$R$19:$S$57,2,TRUE)</f>
        <v>37.624502487562189</v>
      </c>
      <c r="I34" s="26">
        <v>11.4</v>
      </c>
      <c r="J34" s="3">
        <v>194002</v>
      </c>
      <c r="K34" s="3">
        <v>10246</v>
      </c>
      <c r="L34" s="14">
        <f>J34/VLOOKUP(A34,Raw_Data!$U$19:$V$57,2,FALSE)</f>
        <v>36.053149972124139</v>
      </c>
      <c r="M34" s="3">
        <v>33500</v>
      </c>
      <c r="O34" s="16" t="s">
        <v>76</v>
      </c>
      <c r="P34" s="16">
        <v>35</v>
      </c>
      <c r="Q34" s="16">
        <v>261.42489075655789</v>
      </c>
      <c r="R34" s="16"/>
      <c r="S34" s="16"/>
      <c r="T34" s="16"/>
      <c r="AB34" s="16" t="s">
        <v>76</v>
      </c>
      <c r="AC34" s="16">
        <v>35</v>
      </c>
      <c r="AD34" s="16">
        <v>134.22413908776181</v>
      </c>
      <c r="AE34" s="16"/>
      <c r="AF34" s="16"/>
      <c r="AG34" s="16"/>
      <c r="AO34" s="16" t="s">
        <v>76</v>
      </c>
      <c r="AP34" s="16">
        <v>35</v>
      </c>
      <c r="AQ34" s="16">
        <v>20165191425.888885</v>
      </c>
      <c r="AR34" s="16"/>
      <c r="AS34" s="16"/>
      <c r="AT34" s="16"/>
    </row>
    <row r="35" spans="1:49" ht="15" thickBot="1" x14ac:dyDescent="0.4">
      <c r="A35" s="2">
        <v>2003</v>
      </c>
      <c r="B35" s="3">
        <v>380</v>
      </c>
      <c r="C35" s="3">
        <v>178</v>
      </c>
      <c r="D35" s="3">
        <v>165</v>
      </c>
      <c r="E35" s="3">
        <v>669858</v>
      </c>
      <c r="F35" s="3">
        <v>299939</v>
      </c>
      <c r="G35" s="3">
        <v>12025</v>
      </c>
      <c r="H35" s="14">
        <f>F35/VLOOKUP(A35,Raw_Data!$R$19:$S$57,2,TRUE)</f>
        <v>37.75667170191339</v>
      </c>
      <c r="I35" s="26">
        <v>10.5</v>
      </c>
      <c r="J35" s="3">
        <v>206426</v>
      </c>
      <c r="K35" s="3">
        <v>10830</v>
      </c>
      <c r="L35" s="14">
        <f>J35/VLOOKUP(A35,Raw_Data!$U$19:$V$57,2,FALSE)</f>
        <v>36.535575221238936</v>
      </c>
      <c r="M35" s="3">
        <v>33085</v>
      </c>
    </row>
    <row r="36" spans="1:49" x14ac:dyDescent="0.35">
      <c r="A36" s="2">
        <v>2004</v>
      </c>
      <c r="B36" s="3">
        <v>376</v>
      </c>
      <c r="C36" s="3">
        <v>177</v>
      </c>
      <c r="D36" s="3">
        <v>163</v>
      </c>
      <c r="E36" s="3">
        <v>675990</v>
      </c>
      <c r="F36" s="3">
        <v>296419</v>
      </c>
      <c r="G36" s="3">
        <v>12209</v>
      </c>
      <c r="H36" s="14">
        <f>F36/VLOOKUP(A36,Raw_Data!$R$19:$S$57,2,TRUE)</f>
        <v>37.650069859011815</v>
      </c>
      <c r="I36" s="26">
        <v>10.3</v>
      </c>
      <c r="J36" s="3">
        <v>213534</v>
      </c>
      <c r="K36" s="3">
        <v>11240</v>
      </c>
      <c r="L36" s="14">
        <f>J36/VLOOKUP(A36,Raw_Data!$U$19:$V$57,2,FALSE)</f>
        <v>36.683387734066315</v>
      </c>
      <c r="M36" s="3">
        <v>34169</v>
      </c>
      <c r="O36" s="17"/>
      <c r="P36" s="17" t="s">
        <v>83</v>
      </c>
      <c r="Q36" s="17" t="s">
        <v>71</v>
      </c>
      <c r="R36" s="17" t="s">
        <v>84</v>
      </c>
      <c r="S36" s="17" t="s">
        <v>85</v>
      </c>
      <c r="T36" s="17" t="s">
        <v>86</v>
      </c>
      <c r="U36" s="17" t="s">
        <v>87</v>
      </c>
      <c r="V36" s="17" t="s">
        <v>88</v>
      </c>
      <c r="W36" s="17" t="s">
        <v>89</v>
      </c>
      <c r="AB36" s="17"/>
      <c r="AC36" s="17" t="s">
        <v>83</v>
      </c>
      <c r="AD36" s="17" t="s">
        <v>71</v>
      </c>
      <c r="AE36" s="17" t="s">
        <v>84</v>
      </c>
      <c r="AF36" s="17" t="s">
        <v>85</v>
      </c>
      <c r="AG36" s="17" t="s">
        <v>86</v>
      </c>
      <c r="AH36" s="17" t="s">
        <v>87</v>
      </c>
      <c r="AI36" s="17" t="s">
        <v>88</v>
      </c>
      <c r="AJ36" s="17" t="s">
        <v>89</v>
      </c>
      <c r="AO36" s="17"/>
      <c r="AP36" s="17" t="s">
        <v>83</v>
      </c>
      <c r="AQ36" s="17" t="s">
        <v>71</v>
      </c>
      <c r="AR36" s="17" t="s">
        <v>84</v>
      </c>
      <c r="AS36" s="17" t="s">
        <v>85</v>
      </c>
      <c r="AT36" s="17" t="s">
        <v>86</v>
      </c>
      <c r="AU36" s="17" t="s">
        <v>87</v>
      </c>
    </row>
    <row r="37" spans="1:49" x14ac:dyDescent="0.35">
      <c r="A37" s="2">
        <v>2005</v>
      </c>
      <c r="B37" s="3">
        <v>369</v>
      </c>
      <c r="C37" s="3">
        <v>173</v>
      </c>
      <c r="D37" s="3">
        <v>156</v>
      </c>
      <c r="E37" s="3">
        <v>684805</v>
      </c>
      <c r="F37" s="3">
        <v>282793</v>
      </c>
      <c r="G37" s="3">
        <v>12022</v>
      </c>
      <c r="H37" s="14">
        <f>F37/VLOOKUP(A37,Raw_Data!$R$19:$S$57,2,TRUE)</f>
        <v>35.190766550522646</v>
      </c>
      <c r="I37" s="26">
        <v>10.199999999999999</v>
      </c>
      <c r="J37" s="3">
        <v>200358</v>
      </c>
      <c r="K37" s="3">
        <v>10751</v>
      </c>
      <c r="L37" s="14">
        <f>J37/VLOOKUP(A37,Raw_Data!$U$19:$V$57,2,FALSE)</f>
        <v>34.325509679629945</v>
      </c>
      <c r="M37" s="3">
        <v>35233</v>
      </c>
      <c r="O37" t="s">
        <v>77</v>
      </c>
      <c r="P37">
        <v>52.330121987845224</v>
      </c>
      <c r="Q37">
        <v>1.152369545462963</v>
      </c>
      <c r="R37">
        <v>45.410885938348592</v>
      </c>
      <c r="S37">
        <v>5.0971412114102654E-32</v>
      </c>
      <c r="T37">
        <v>49.98822530637316</v>
      </c>
      <c r="U37">
        <v>54.672018669317289</v>
      </c>
      <c r="V37">
        <v>49.98822530637316</v>
      </c>
      <c r="W37">
        <v>54.672018669317289</v>
      </c>
      <c r="AB37" t="s">
        <v>77</v>
      </c>
      <c r="AC37">
        <v>18.68242845083526</v>
      </c>
      <c r="AD37">
        <v>1.9324802792661646</v>
      </c>
      <c r="AE37">
        <v>9.6675907388455631</v>
      </c>
      <c r="AF37">
        <v>2.7525961803404361E-11</v>
      </c>
      <c r="AG37">
        <v>14.755156013931824</v>
      </c>
      <c r="AH37">
        <v>22.609700887738697</v>
      </c>
      <c r="AI37">
        <v>14.755156013931824</v>
      </c>
      <c r="AJ37">
        <v>22.609700887738697</v>
      </c>
      <c r="AO37" t="s">
        <v>77</v>
      </c>
      <c r="AP37">
        <v>242887.85112512257</v>
      </c>
      <c r="AQ37">
        <v>15424.497730324385</v>
      </c>
      <c r="AR37">
        <v>15.746888836944613</v>
      </c>
      <c r="AS37">
        <v>3.4762145907994037E-17</v>
      </c>
      <c r="AT37">
        <v>211541.50030368724</v>
      </c>
      <c r="AU37">
        <v>274234.20194655791</v>
      </c>
    </row>
    <row r="38" spans="1:49" ht="15" thickBot="1" x14ac:dyDescent="0.4">
      <c r="A38" s="2">
        <v>2006</v>
      </c>
      <c r="B38" s="3">
        <v>368</v>
      </c>
      <c r="C38" s="3">
        <v>172</v>
      </c>
      <c r="D38" s="3">
        <v>155</v>
      </c>
      <c r="E38" s="3">
        <v>692979</v>
      </c>
      <c r="F38" s="3">
        <v>277291</v>
      </c>
      <c r="G38" s="3">
        <v>12268</v>
      </c>
      <c r="H38" s="14">
        <f>F38/VLOOKUP(A38,Raw_Data!$R$19:$S$57,2,TRUE)</f>
        <v>33.672252580449303</v>
      </c>
      <c r="I38" s="26">
        <v>10.3</v>
      </c>
      <c r="J38" s="3">
        <v>200291</v>
      </c>
      <c r="K38" s="3">
        <v>10570</v>
      </c>
      <c r="L38" s="14">
        <f>J38/VLOOKUP(A38,Raw_Data!$U$19:$V$57,2,FALSE)</f>
        <v>33.924627371273715</v>
      </c>
      <c r="M38" s="3">
        <v>35916</v>
      </c>
      <c r="O38" s="16" t="s">
        <v>90</v>
      </c>
      <c r="P38" s="16">
        <v>-1.3473814137406814E-3</v>
      </c>
      <c r="Q38" s="16">
        <v>9.3109207218816412E-5</v>
      </c>
      <c r="R38" s="16">
        <v>-14.470979336922005</v>
      </c>
      <c r="S38" s="16">
        <v>4.2771197401181593E-16</v>
      </c>
      <c r="T38" s="16">
        <v>-1.5366020888780468E-3</v>
      </c>
      <c r="U38" s="16">
        <v>-1.158160738603316E-3</v>
      </c>
      <c r="V38" s="16">
        <v>-1.5366020888780468E-3</v>
      </c>
      <c r="W38" s="16">
        <v>-1.158160738603316E-3</v>
      </c>
      <c r="AB38" s="16" t="s">
        <v>90</v>
      </c>
      <c r="AC38" s="16">
        <v>8.2085638935545406E-5</v>
      </c>
      <c r="AD38" s="16">
        <v>1.088059918081609E-5</v>
      </c>
      <c r="AE38" s="16">
        <v>7.544220458030753</v>
      </c>
      <c r="AF38" s="16">
        <v>9.2487425929443972E-9</v>
      </c>
      <c r="AG38" s="16">
        <v>5.9973600992245035E-5</v>
      </c>
      <c r="AH38" s="16">
        <v>1.0419767687884577E-4</v>
      </c>
      <c r="AI38" s="16">
        <v>5.9973600992245035E-5</v>
      </c>
      <c r="AJ38" s="16">
        <v>1.0419767687884577E-4</v>
      </c>
      <c r="AO38" s="16" t="s">
        <v>90</v>
      </c>
      <c r="AP38" s="16">
        <v>1664.3894748962807</v>
      </c>
      <c r="AQ38" s="16">
        <v>1186.8227147620044</v>
      </c>
      <c r="AR38" s="16">
        <v>1.4023909840906976</v>
      </c>
      <c r="AS38" s="16">
        <v>0.16986357635799465</v>
      </c>
      <c r="AT38" s="16">
        <v>-747.52447071235201</v>
      </c>
      <c r="AU38" s="16">
        <v>4076.3034205049134</v>
      </c>
    </row>
    <row r="39" spans="1:49" x14ac:dyDescent="0.35">
      <c r="A39" s="2">
        <v>2007</v>
      </c>
      <c r="B39" s="3">
        <v>365</v>
      </c>
      <c r="C39" s="3">
        <v>170</v>
      </c>
      <c r="D39" s="3">
        <v>154</v>
      </c>
      <c r="E39" s="3">
        <v>704836</v>
      </c>
      <c r="F39" s="3">
        <v>277772</v>
      </c>
      <c r="G39" s="3">
        <v>12472</v>
      </c>
      <c r="H39" s="14">
        <f>F39/VLOOKUP(A39,Raw_Data!$R$19:$S$57,2,TRUE)</f>
        <v>33.681581181035526</v>
      </c>
      <c r="I39" s="26">
        <v>10.3</v>
      </c>
      <c r="J39" s="3">
        <v>202858</v>
      </c>
      <c r="K39" s="3">
        <v>10850</v>
      </c>
      <c r="L39" s="14">
        <f>J39/VLOOKUP(A39,Raw_Data!$U$19:$V$57,2,FALSE)</f>
        <v>34.174191374663074</v>
      </c>
      <c r="M39" s="3">
        <v>37334</v>
      </c>
    </row>
    <row r="40" spans="1:49" x14ac:dyDescent="0.35">
      <c r="A40" s="2">
        <v>2008</v>
      </c>
      <c r="B40" s="3">
        <v>370</v>
      </c>
      <c r="C40" s="3">
        <v>174</v>
      </c>
      <c r="D40" s="3">
        <v>154</v>
      </c>
      <c r="E40" s="3">
        <v>708194</v>
      </c>
      <c r="F40" s="3">
        <v>272097</v>
      </c>
      <c r="G40" s="3">
        <v>12723</v>
      </c>
      <c r="H40" s="14">
        <f>F40/VLOOKUP(A40,Raw_Data!$R$19:$S$57,2,TRUE)</f>
        <v>33.604668395702113</v>
      </c>
      <c r="I40" s="26">
        <v>10.199999999999999</v>
      </c>
      <c r="J40" s="3">
        <v>201531</v>
      </c>
      <c r="K40" s="3">
        <v>11062</v>
      </c>
      <c r="L40" s="14">
        <f>J40/VLOOKUP(A40,Raw_Data!$U$19:$V$57,2,FALSE)</f>
        <v>33.962082912032358</v>
      </c>
      <c r="M40" s="3">
        <v>38547</v>
      </c>
    </row>
    <row r="41" spans="1:49" x14ac:dyDescent="0.35">
      <c r="A41" s="2">
        <v>2009</v>
      </c>
      <c r="B41" s="3">
        <v>368</v>
      </c>
      <c r="C41" s="3">
        <v>172</v>
      </c>
      <c r="D41" s="3">
        <v>154</v>
      </c>
      <c r="E41" s="3">
        <v>708634</v>
      </c>
      <c r="F41" s="3">
        <v>265104</v>
      </c>
      <c r="G41" s="3">
        <v>13493</v>
      </c>
      <c r="H41" s="14">
        <f>F41/VLOOKUP(A41,Raw_Data!$R$19:$S$57,2,TRUE)</f>
        <v>33.532001011889705</v>
      </c>
      <c r="I41" s="26">
        <v>9.9</v>
      </c>
      <c r="J41" s="3">
        <v>199409</v>
      </c>
      <c r="K41" s="3">
        <v>12066</v>
      </c>
      <c r="L41" s="14">
        <f>J41/VLOOKUP(A41,Raw_Data!$U$19:$V$57,2,FALSE)</f>
        <v>33.542304457527337</v>
      </c>
      <c r="M41" s="3">
        <v>41094</v>
      </c>
    </row>
    <row r="42" spans="1:49" x14ac:dyDescent="0.35">
      <c r="A42" s="2">
        <v>2010</v>
      </c>
      <c r="B42" s="3">
        <v>371</v>
      </c>
      <c r="C42" s="3">
        <v>173</v>
      </c>
      <c r="D42" s="3">
        <v>155</v>
      </c>
      <c r="E42" s="3">
        <v>702567</v>
      </c>
      <c r="F42" s="3">
        <v>256801</v>
      </c>
      <c r="G42" s="3">
        <v>13318</v>
      </c>
      <c r="H42" s="14">
        <f>F42/VLOOKUP(A42,Raw_Data!$R$19:$S$57,2,TRUE)</f>
        <v>33.385465418616747</v>
      </c>
      <c r="I42" s="26">
        <v>9.3000000000000007</v>
      </c>
      <c r="J42" s="3">
        <v>196220</v>
      </c>
      <c r="K42" s="3">
        <v>12183</v>
      </c>
      <c r="L42" s="14">
        <f>J42/VLOOKUP(A42,Raw_Data!$U$19:$V$57,2,FALSE)</f>
        <v>33.456095481670928</v>
      </c>
      <c r="M42" s="3">
        <v>41502</v>
      </c>
      <c r="O42" t="s">
        <v>91</v>
      </c>
      <c r="T42" t="s">
        <v>96</v>
      </c>
      <c r="AB42" t="s">
        <v>91</v>
      </c>
      <c r="AG42" t="s">
        <v>96</v>
      </c>
      <c r="AO42" t="s">
        <v>91</v>
      </c>
      <c r="AT42" t="s">
        <v>96</v>
      </c>
    </row>
    <row r="43" spans="1:49" ht="15" thickBot="1" x14ac:dyDescent="0.4">
      <c r="A43" s="2">
        <v>2011</v>
      </c>
      <c r="B43" s="3">
        <v>371</v>
      </c>
      <c r="C43" s="3">
        <v>174</v>
      </c>
      <c r="D43" s="3">
        <v>154</v>
      </c>
      <c r="E43" s="3">
        <v>693268</v>
      </c>
      <c r="F43" s="3">
        <v>251165</v>
      </c>
      <c r="G43" s="3">
        <v>13586</v>
      </c>
      <c r="H43" s="14">
        <f>F43/VLOOKUP(A43,Raw_Data!$R$19:$S$57,2,TRUE)</f>
        <v>33.390720553044403</v>
      </c>
      <c r="I43" s="26">
        <v>9.5</v>
      </c>
      <c r="J43" s="3">
        <v>189735</v>
      </c>
      <c r="K43" s="3">
        <v>12936</v>
      </c>
      <c r="L43" s="14">
        <f>J43/VLOOKUP(A43,Raw_Data!$U$19:$V$57,2,FALSE)</f>
        <v>33.089466341123128</v>
      </c>
      <c r="M43" s="3">
        <v>42784</v>
      </c>
    </row>
    <row r="44" spans="1:49" x14ac:dyDescent="0.35">
      <c r="A44" s="2">
        <v>2012</v>
      </c>
      <c r="B44" s="3">
        <v>373</v>
      </c>
      <c r="C44" s="3">
        <v>175</v>
      </c>
      <c r="D44" s="3">
        <v>154</v>
      </c>
      <c r="E44" s="3">
        <v>685841</v>
      </c>
      <c r="F44" s="3">
        <v>245560</v>
      </c>
      <c r="G44" s="3">
        <v>13979</v>
      </c>
      <c r="H44" s="14">
        <f>F44/VLOOKUP(A44,Raw_Data!$R$19:$S$57,2,TRUE)</f>
        <v>33.287244137183137</v>
      </c>
      <c r="I44" s="26">
        <v>10.1</v>
      </c>
      <c r="J44" s="3">
        <v>184304</v>
      </c>
      <c r="K44" s="3">
        <v>13087</v>
      </c>
      <c r="L44" s="14">
        <f>J44/VLOOKUP(A44,Raw_Data!$U$19:$V$57,2,FALSE)</f>
        <v>32.689606243348706</v>
      </c>
      <c r="M44" s="3">
        <v>44331</v>
      </c>
      <c r="O44" s="17" t="s">
        <v>92</v>
      </c>
      <c r="P44" s="17" t="s">
        <v>93</v>
      </c>
      <c r="Q44" s="17" t="s">
        <v>94</v>
      </c>
      <c r="R44" s="17" t="s">
        <v>95</v>
      </c>
      <c r="T44" s="17" t="s">
        <v>97</v>
      </c>
      <c r="U44" s="17" t="s">
        <v>98</v>
      </c>
      <c r="AB44" s="17" t="s">
        <v>92</v>
      </c>
      <c r="AC44" s="17" t="s">
        <v>93</v>
      </c>
      <c r="AD44" s="17" t="s">
        <v>94</v>
      </c>
      <c r="AE44" s="17" t="s">
        <v>95</v>
      </c>
      <c r="AG44" s="17" t="s">
        <v>97</v>
      </c>
      <c r="AH44" s="17" t="s">
        <v>98</v>
      </c>
      <c r="AO44" s="17" t="s">
        <v>92</v>
      </c>
      <c r="AP44" s="17" t="s">
        <v>93</v>
      </c>
      <c r="AQ44" s="17" t="s">
        <v>94</v>
      </c>
      <c r="AR44" s="17" t="s">
        <v>95</v>
      </c>
      <c r="AT44" s="17" t="s">
        <v>97</v>
      </c>
      <c r="AU44" s="17" t="s">
        <v>98</v>
      </c>
    </row>
    <row r="45" spans="1:49" x14ac:dyDescent="0.35">
      <c r="A45" s="2">
        <v>2013</v>
      </c>
      <c r="B45" s="3">
        <v>381</v>
      </c>
      <c r="C45" s="3">
        <v>182</v>
      </c>
      <c r="D45" s="3">
        <v>154</v>
      </c>
      <c r="E45" s="3">
        <v>675034</v>
      </c>
      <c r="F45" s="3">
        <v>236862</v>
      </c>
      <c r="G45" s="3">
        <v>14442</v>
      </c>
      <c r="H45" s="14">
        <f>F45/VLOOKUP(A45,Raw_Data!$R$19:$S$57,2,TRUE)</f>
        <v>32.706710853355425</v>
      </c>
      <c r="I45" s="26">
        <v>9.3000000000000007</v>
      </c>
      <c r="J45" s="3">
        <v>177672</v>
      </c>
      <c r="K45" s="3">
        <v>13328</v>
      </c>
      <c r="L45" s="14">
        <f>J45/VLOOKUP(A45,Raw_Data!$U$19:$V$57,2,FALSE)</f>
        <v>31.8751345532831</v>
      </c>
      <c r="M45" s="3">
        <v>46211</v>
      </c>
      <c r="O45">
        <v>1</v>
      </c>
      <c r="P45">
        <v>38.38337697421543</v>
      </c>
      <c r="Q45">
        <v>1.627422161853687</v>
      </c>
      <c r="R45">
        <v>1.5932717459028505</v>
      </c>
      <c r="T45">
        <v>1.3888888888888888</v>
      </c>
      <c r="U45">
        <v>31.945215175537939</v>
      </c>
      <c r="AB45">
        <v>1</v>
      </c>
      <c r="AC45">
        <v>32.110818124301133</v>
      </c>
      <c r="AD45">
        <v>0.69904950506108321</v>
      </c>
      <c r="AE45">
        <v>0.58372135340353526</v>
      </c>
      <c r="AG45">
        <v>1.3888888888888888</v>
      </c>
      <c r="AH45">
        <v>29.27320954907162</v>
      </c>
      <c r="AO45">
        <v>1</v>
      </c>
      <c r="AP45">
        <v>270516.71640840085</v>
      </c>
      <c r="AQ45">
        <v>7358.2835915991454</v>
      </c>
      <c r="AR45">
        <v>0.31529726963469867</v>
      </c>
      <c r="AT45">
        <v>1.3888888888888888</v>
      </c>
      <c r="AU45">
        <v>225661</v>
      </c>
    </row>
    <row r="46" spans="1:49" x14ac:dyDescent="0.35">
      <c r="A46" s="2">
        <v>2014</v>
      </c>
      <c r="B46" s="3">
        <v>386</v>
      </c>
      <c r="C46" s="3">
        <v>185</v>
      </c>
      <c r="D46" s="3">
        <v>154</v>
      </c>
      <c r="E46" s="3">
        <v>668586</v>
      </c>
      <c r="F46" s="3">
        <v>234499</v>
      </c>
      <c r="G46" s="3">
        <v>14343</v>
      </c>
      <c r="H46" s="14">
        <f>F46/VLOOKUP(A46,Raw_Data!$R$19:$S$57,2,TRUE)</f>
        <v>32.587409672040025</v>
      </c>
      <c r="I46" s="26">
        <v>9.8000000000000007</v>
      </c>
      <c r="J46" s="3">
        <v>170299</v>
      </c>
      <c r="K46" s="3">
        <v>13544</v>
      </c>
      <c r="L46" s="14">
        <f>J46/VLOOKUP(A46,Raw_Data!$U$19:$V$57,2,FALSE)</f>
        <v>31.08213177587151</v>
      </c>
      <c r="M46" s="3">
        <v>48845</v>
      </c>
      <c r="O46">
        <v>2</v>
      </c>
      <c r="P46">
        <v>38.511378208520796</v>
      </c>
      <c r="Q46">
        <v>1.2206537346912683</v>
      </c>
      <c r="R46">
        <v>1.1950390947110878</v>
      </c>
      <c r="T46">
        <v>4.1666666666666661</v>
      </c>
      <c r="U46">
        <v>32.017408395339039</v>
      </c>
      <c r="AB46">
        <v>2</v>
      </c>
      <c r="AC46">
        <v>32.927406060431942</v>
      </c>
      <c r="AD46">
        <v>0.69747283900615287</v>
      </c>
      <c r="AE46">
        <v>0.58240480337841372</v>
      </c>
      <c r="AG46">
        <v>4.1666666666666661</v>
      </c>
      <c r="AH46">
        <v>29.380766864875948</v>
      </c>
      <c r="AO46">
        <v>2</v>
      </c>
      <c r="AP46">
        <v>267520.8153535875</v>
      </c>
      <c r="AQ46">
        <v>1147.1846464124974</v>
      </c>
      <c r="AR46">
        <v>4.9156054163726509E-2</v>
      </c>
      <c r="AT46">
        <v>4.1666666666666661</v>
      </c>
      <c r="AU46">
        <v>227406</v>
      </c>
    </row>
    <row r="47" spans="1:49" x14ac:dyDescent="0.35">
      <c r="A47" s="2">
        <v>2015</v>
      </c>
      <c r="B47" s="3">
        <v>383</v>
      </c>
      <c r="C47" s="3">
        <v>182</v>
      </c>
      <c r="D47" s="3">
        <v>154</v>
      </c>
      <c r="E47" s="3">
        <v>661184</v>
      </c>
      <c r="F47" s="3">
        <v>231933</v>
      </c>
      <c r="G47" s="3">
        <v>14566</v>
      </c>
      <c r="H47" s="14">
        <f>F47/VLOOKUP(A47,Raw_Data!$R$19:$S$57,2,TRUE)</f>
        <v>32.479064556784763</v>
      </c>
      <c r="I47" s="26">
        <v>9.6999999999999993</v>
      </c>
      <c r="J47" s="3">
        <v>166392</v>
      </c>
      <c r="K47" s="3">
        <v>13467</v>
      </c>
      <c r="L47" s="14">
        <f>J47/VLOOKUP(A47,Raw_Data!$U$19:$V$57,2,FALSE)</f>
        <v>30.671336405529953</v>
      </c>
      <c r="M47" s="3">
        <v>49052</v>
      </c>
      <c r="O47">
        <v>3</v>
      </c>
      <c r="P47">
        <v>38.600305381827681</v>
      </c>
      <c r="Q47">
        <v>0.39119223153747384</v>
      </c>
      <c r="R47">
        <v>0.38298331209611391</v>
      </c>
      <c r="T47">
        <v>6.9444444444444446</v>
      </c>
      <c r="U47">
        <v>32.078713499788407</v>
      </c>
      <c r="AB47">
        <v>3</v>
      </c>
      <c r="AC47">
        <v>32.769719548036754</v>
      </c>
      <c r="AD47">
        <v>0.72305953080790175</v>
      </c>
      <c r="AE47">
        <v>0.60377024067506257</v>
      </c>
      <c r="AG47">
        <v>6.9444444444444446</v>
      </c>
      <c r="AH47">
        <v>29.955010224948875</v>
      </c>
      <c r="AO47">
        <v>3</v>
      </c>
      <c r="AP47">
        <v>270516.71640840085</v>
      </c>
      <c r="AQ47">
        <v>-9117.7164084008546</v>
      </c>
      <c r="AR47">
        <v>-0.39068772670767832</v>
      </c>
      <c r="AT47">
        <v>6.9444444444444446</v>
      </c>
      <c r="AU47">
        <v>228060</v>
      </c>
    </row>
    <row r="48" spans="1:49" x14ac:dyDescent="0.35">
      <c r="A48" s="2">
        <v>2016</v>
      </c>
      <c r="B48" s="3">
        <v>382</v>
      </c>
      <c r="C48" s="3">
        <v>185</v>
      </c>
      <c r="D48" s="3">
        <v>150</v>
      </c>
      <c r="E48" s="3">
        <v>651408</v>
      </c>
      <c r="F48" s="3">
        <v>230989</v>
      </c>
      <c r="G48" s="3">
        <v>14997</v>
      </c>
      <c r="H48" s="14">
        <f>F48/VLOOKUP(A48,Raw_Data!$R$19:$S$57,2,TRUE)</f>
        <v>32.337813243735127</v>
      </c>
      <c r="I48" s="26">
        <v>9.4</v>
      </c>
      <c r="J48" s="3">
        <v>160662</v>
      </c>
      <c r="K48" s="3">
        <v>13350</v>
      </c>
      <c r="L48" s="14">
        <f>J48/VLOOKUP(A48,Raw_Data!$U$19:$V$57,2,FALSE)</f>
        <v>30.434173138852056</v>
      </c>
      <c r="M48" s="3">
        <v>49842</v>
      </c>
      <c r="O48">
        <v>4</v>
      </c>
      <c r="P48">
        <v>38.907508344160554</v>
      </c>
      <c r="Q48">
        <v>-0.65016300236223401</v>
      </c>
      <c r="R48">
        <v>-0.63651974648987653</v>
      </c>
      <c r="T48">
        <v>9.7222222222222214</v>
      </c>
      <c r="U48">
        <v>32.184377199155527</v>
      </c>
      <c r="AB48">
        <v>4</v>
      </c>
      <c r="AC48">
        <v>32.481270612817248</v>
      </c>
      <c r="AD48">
        <v>1.616700989616831</v>
      </c>
      <c r="AE48">
        <v>1.3499800555977937</v>
      </c>
      <c r="AG48">
        <v>9.7222222222222214</v>
      </c>
      <c r="AH48">
        <v>30.127865612648222</v>
      </c>
      <c r="AO48">
        <v>4</v>
      </c>
      <c r="AP48">
        <v>275842.76272806892</v>
      </c>
      <c r="AQ48">
        <v>-16725.762728068919</v>
      </c>
      <c r="AR48">
        <v>-0.71668715333814037</v>
      </c>
      <c r="AT48">
        <v>9.7222222222222214</v>
      </c>
      <c r="AU48">
        <v>228670</v>
      </c>
    </row>
    <row r="49" spans="1:47" x14ac:dyDescent="0.35">
      <c r="A49" s="2">
        <v>2017</v>
      </c>
      <c r="B49" s="3">
        <v>376</v>
      </c>
      <c r="C49" s="3">
        <v>185</v>
      </c>
      <c r="D49" s="3">
        <v>143</v>
      </c>
      <c r="E49" s="3">
        <v>657321</v>
      </c>
      <c r="F49" s="3">
        <v>228670</v>
      </c>
      <c r="G49" s="3">
        <v>15183</v>
      </c>
      <c r="H49" s="14">
        <f>F49/VLOOKUP(A49,Raw_Data!$R$19:$S$57,2,TRUE)</f>
        <v>32.184377199155527</v>
      </c>
      <c r="I49" s="26">
        <v>8.9</v>
      </c>
      <c r="J49" s="3">
        <v>152447</v>
      </c>
      <c r="K49" s="3">
        <v>13087</v>
      </c>
      <c r="L49" s="14">
        <f>J49/VLOOKUP(A49,Raw_Data!$U$19:$V$57,2,FALSE)</f>
        <v>30.127865612648222</v>
      </c>
      <c r="M49" s="3">
        <v>50775</v>
      </c>
      <c r="O49">
        <v>5</v>
      </c>
      <c r="P49">
        <v>38.859002613265893</v>
      </c>
      <c r="Q49">
        <v>-0.6203915433742182</v>
      </c>
      <c r="R49">
        <v>-0.60737302257782033</v>
      </c>
      <c r="T49">
        <v>12.5</v>
      </c>
      <c r="U49">
        <v>32.337813243735127</v>
      </c>
      <c r="AB49">
        <v>5</v>
      </c>
      <c r="AC49">
        <v>32.294607869877822</v>
      </c>
      <c r="AD49">
        <v>0.51033772853958936</v>
      </c>
      <c r="AE49">
        <v>0.42614296618375386</v>
      </c>
      <c r="AG49">
        <v>12.5</v>
      </c>
      <c r="AH49">
        <v>30.434173138852056</v>
      </c>
      <c r="AO49">
        <v>5</v>
      </c>
      <c r="AP49">
        <v>272014.6669358075</v>
      </c>
      <c r="AQ49">
        <v>-14324.666935807501</v>
      </c>
      <c r="AR49">
        <v>-0.61380188967478921</v>
      </c>
      <c r="AT49">
        <v>12.5</v>
      </c>
      <c r="AU49">
        <v>230989</v>
      </c>
    </row>
    <row r="50" spans="1:47" x14ac:dyDescent="0.35">
      <c r="A50" s="2">
        <v>2018</v>
      </c>
      <c r="B50" s="3">
        <v>373</v>
      </c>
      <c r="C50" s="3">
        <v>186</v>
      </c>
      <c r="D50" s="3">
        <v>139</v>
      </c>
      <c r="E50" s="3">
        <v>654006</v>
      </c>
      <c r="F50" s="3">
        <v>227406</v>
      </c>
      <c r="G50" s="3">
        <v>15364</v>
      </c>
      <c r="H50" s="14">
        <f>F50/VLOOKUP(A50,Raw_Data!$R$19:$S$57,2,TRUE)</f>
        <v>32.078713499788407</v>
      </c>
      <c r="I50" s="26">
        <v>8.8000000000000007</v>
      </c>
      <c r="J50" s="3">
        <v>146480</v>
      </c>
      <c r="K50" s="3">
        <v>12576</v>
      </c>
      <c r="L50" s="14">
        <f>J50/VLOOKUP(A50,Raw_Data!$U$19:$V$57,2,FALSE)</f>
        <v>29.955010224948875</v>
      </c>
      <c r="M50" s="3">
        <v>51288</v>
      </c>
      <c r="O50">
        <v>6</v>
      </c>
      <c r="P50">
        <v>38.848223561955969</v>
      </c>
      <c r="Q50">
        <v>-0.13434552050208026</v>
      </c>
      <c r="R50">
        <v>-0.1315263654519537</v>
      </c>
      <c r="T50">
        <v>15.277777777777779</v>
      </c>
      <c r="U50">
        <v>32.479064556784763</v>
      </c>
      <c r="AB50">
        <v>6</v>
      </c>
      <c r="AC50">
        <v>31.860621096825589</v>
      </c>
      <c r="AD50">
        <v>0.71028578083722493</v>
      </c>
      <c r="AE50">
        <v>0.59310388504940437</v>
      </c>
      <c r="AG50">
        <v>15.277777777777779</v>
      </c>
      <c r="AH50">
        <v>30.671336405529953</v>
      </c>
      <c r="AO50">
        <v>6</v>
      </c>
      <c r="AP50">
        <v>273179.73956823489</v>
      </c>
      <c r="AQ50">
        <v>-15422.739568234887</v>
      </c>
      <c r="AR50">
        <v>-0.66085352862768509</v>
      </c>
      <c r="AT50">
        <v>15.277777777777779</v>
      </c>
      <c r="AU50">
        <v>231933</v>
      </c>
    </row>
    <row r="51" spans="1:47" x14ac:dyDescent="0.35">
      <c r="A51" s="2">
        <v>2019</v>
      </c>
      <c r="B51" s="3">
        <v>360</v>
      </c>
      <c r="C51" s="3">
        <v>179</v>
      </c>
      <c r="D51" s="3">
        <v>136</v>
      </c>
      <c r="E51" s="3">
        <v>654937</v>
      </c>
      <c r="F51" s="3">
        <v>228060</v>
      </c>
      <c r="G51" s="3">
        <v>15436</v>
      </c>
      <c r="H51" s="14">
        <f>F51/VLOOKUP(A51,Raw_Data!$R$19:$S$57,2,TRUE)</f>
        <v>32.017408395339039</v>
      </c>
      <c r="I51" s="26">
        <v>8.8000000000000007</v>
      </c>
      <c r="J51" s="3">
        <v>143290</v>
      </c>
      <c r="K51" s="3">
        <v>12177</v>
      </c>
      <c r="L51" s="14">
        <f>J51/VLOOKUP(A51,Raw_Data!$U$19:$V$57,2,FALSE)</f>
        <v>29.380766864875948</v>
      </c>
      <c r="M51" s="3">
        <v>51179</v>
      </c>
      <c r="O51">
        <v>7</v>
      </c>
      <c r="P51">
        <v>39.067846732395694</v>
      </c>
      <c r="Q51">
        <v>0.63738910946051419</v>
      </c>
      <c r="R51">
        <v>0.62401390558236591</v>
      </c>
      <c r="T51">
        <v>18.055555555555554</v>
      </c>
      <c r="U51">
        <v>32.587409672040025</v>
      </c>
      <c r="AB51">
        <v>7</v>
      </c>
      <c r="AC51">
        <v>31.549024011426262</v>
      </c>
      <c r="AD51">
        <v>0.72316046458773542</v>
      </c>
      <c r="AE51">
        <v>0.60385452254943928</v>
      </c>
      <c r="AG51">
        <v>18.055555555555554</v>
      </c>
      <c r="AH51">
        <v>31.08213177587151</v>
      </c>
      <c r="AO51">
        <v>7</v>
      </c>
      <c r="AP51">
        <v>271348.91114584898</v>
      </c>
      <c r="AQ51">
        <v>-11239.911145848979</v>
      </c>
      <c r="AR51">
        <v>-0.48162227659570483</v>
      </c>
      <c r="AT51">
        <v>18.055555555555554</v>
      </c>
      <c r="AU51">
        <v>234499</v>
      </c>
    </row>
    <row r="52" spans="1:47" x14ac:dyDescent="0.35">
      <c r="A52" s="2">
        <v>2020</v>
      </c>
      <c r="B52" s="3">
        <v>361</v>
      </c>
      <c r="C52" s="3">
        <v>180</v>
      </c>
      <c r="D52" s="3">
        <v>136</v>
      </c>
      <c r="E52" s="3">
        <v>656369</v>
      </c>
      <c r="F52" s="3">
        <v>225661</v>
      </c>
      <c r="G52" s="3">
        <v>15682</v>
      </c>
      <c r="H52" s="14">
        <f>F52/VLOOKUP(A52,Raw_Data!$R$19:$S$57,2,TRUE)</f>
        <v>31.945215175537939</v>
      </c>
      <c r="I52" s="26">
        <v>8.5</v>
      </c>
      <c r="J52" s="3">
        <v>143468</v>
      </c>
      <c r="K52" s="3">
        <v>11971</v>
      </c>
      <c r="L52" s="14">
        <f>J52/VLOOKUP(A52,Raw_Data!$U$19:$V$57,2,FALSE)</f>
        <v>29.27320954907162</v>
      </c>
      <c r="M52" s="3">
        <v>51274</v>
      </c>
      <c r="O52">
        <v>8</v>
      </c>
      <c r="P52">
        <v>38.603000144655162</v>
      </c>
      <c r="Q52">
        <v>0.88323424679963125</v>
      </c>
      <c r="R52">
        <v>0.86470013953647651</v>
      </c>
      <c r="T52">
        <v>20.833333333333332</v>
      </c>
      <c r="U52">
        <v>32.706710853355425</v>
      </c>
      <c r="AB52">
        <v>8</v>
      </c>
      <c r="AC52">
        <v>31.47399773743917</v>
      </c>
      <c r="AD52">
        <v>0.21849768659987845</v>
      </c>
      <c r="AE52">
        <v>0.1824502619832023</v>
      </c>
      <c r="AG52">
        <v>20.833333333333332</v>
      </c>
      <c r="AH52">
        <v>31.692495424039048</v>
      </c>
      <c r="AO52">
        <v>8</v>
      </c>
      <c r="AP52">
        <v>270849.59430338012</v>
      </c>
      <c r="AQ52">
        <v>-8384.5943033801159</v>
      </c>
      <c r="AR52">
        <v>-0.35927396082812124</v>
      </c>
      <c r="AT52">
        <v>20.833333333333332</v>
      </c>
      <c r="AU52">
        <v>236862</v>
      </c>
    </row>
    <row r="53" spans="1:47" x14ac:dyDescent="0.35">
      <c r="A53" s="2">
        <v>2021</v>
      </c>
      <c r="B53" s="24"/>
      <c r="C53" s="24"/>
      <c r="D53" s="24"/>
      <c r="E53" s="24"/>
      <c r="F53" s="24"/>
      <c r="G53" s="24"/>
      <c r="H53" s="24"/>
      <c r="I53" s="26">
        <v>8.6</v>
      </c>
      <c r="J53" s="24"/>
      <c r="K53" s="24"/>
      <c r="L53" s="24"/>
      <c r="O53">
        <v>9</v>
      </c>
      <c r="P53">
        <v>37.898319665268787</v>
      </c>
      <c r="Q53">
        <v>-1.0707626069424947</v>
      </c>
      <c r="R53">
        <v>-1.0482933366641316</v>
      </c>
      <c r="T53">
        <v>23.611111111111111</v>
      </c>
      <c r="U53">
        <v>33.287244137183137</v>
      </c>
      <c r="AB53">
        <v>9</v>
      </c>
      <c r="AC53">
        <v>31.42999983496972</v>
      </c>
      <c r="AD53">
        <v>0.27600261500986178</v>
      </c>
      <c r="AE53">
        <v>0.23046811250140814</v>
      </c>
      <c r="AG53">
        <v>23.611111111111111</v>
      </c>
      <c r="AH53">
        <v>31.706002449979582</v>
      </c>
      <c r="AO53">
        <v>9</v>
      </c>
      <c r="AP53">
        <v>270849.59430338012</v>
      </c>
      <c r="AQ53">
        <v>-9447.5943033801159</v>
      </c>
      <c r="AR53">
        <v>-0.40482276218233021</v>
      </c>
      <c r="AT53">
        <v>23.611111111111111</v>
      </c>
      <c r="AU53">
        <v>245560</v>
      </c>
    </row>
    <row r="54" spans="1:47" x14ac:dyDescent="0.35">
      <c r="O54">
        <v>10</v>
      </c>
      <c r="P54">
        <v>38.111205928639812</v>
      </c>
      <c r="Q54">
        <v>-0.38878332569421303</v>
      </c>
      <c r="R54">
        <v>-0.38062495560535797</v>
      </c>
      <c r="T54">
        <v>26.388888888888889</v>
      </c>
      <c r="U54">
        <v>33.385465418616747</v>
      </c>
      <c r="AB54">
        <v>10</v>
      </c>
      <c r="AC54">
        <v>32.959911973450417</v>
      </c>
      <c r="AD54">
        <v>1.550802312263869</v>
      </c>
      <c r="AE54">
        <v>1.2949532444013354</v>
      </c>
      <c r="AG54">
        <v>26.388888888888889</v>
      </c>
      <c r="AH54">
        <v>31.8751345532831</v>
      </c>
      <c r="AO54">
        <v>10</v>
      </c>
      <c r="AP54">
        <v>269850.96061844233</v>
      </c>
      <c r="AQ54">
        <v>-18845.960618442332</v>
      </c>
      <c r="AR54">
        <v>-0.80753613973534777</v>
      </c>
      <c r="AT54">
        <v>26.388888888888889</v>
      </c>
      <c r="AU54">
        <v>251005</v>
      </c>
    </row>
    <row r="55" spans="1:47" x14ac:dyDescent="0.35">
      <c r="O55">
        <v>11</v>
      </c>
      <c r="P55">
        <v>38.210912153256622</v>
      </c>
      <c r="Q55">
        <v>-0.83551918383678725</v>
      </c>
      <c r="R55">
        <v>-0.81798634673296566</v>
      </c>
      <c r="T55">
        <v>29.166666666666668</v>
      </c>
      <c r="U55">
        <v>33.390720553044403</v>
      </c>
      <c r="AB55">
        <v>11</v>
      </c>
      <c r="AC55">
        <v>33.538451556668136</v>
      </c>
      <c r="AD55">
        <v>1.3328393874551807</v>
      </c>
      <c r="AE55">
        <v>1.1129495200012973</v>
      </c>
      <c r="AG55">
        <v>29.166666666666668</v>
      </c>
      <c r="AH55">
        <v>32.272184476013997</v>
      </c>
      <c r="AO55">
        <v>11</v>
      </c>
      <c r="AP55">
        <v>268852.32693350455</v>
      </c>
      <c r="AQ55">
        <v>-7299.3269335045479</v>
      </c>
      <c r="AR55">
        <v>-0.31277101835712684</v>
      </c>
      <c r="AT55">
        <v>29.166666666666668</v>
      </c>
      <c r="AU55">
        <v>251165</v>
      </c>
    </row>
    <row r="56" spans="1:47" x14ac:dyDescent="0.35">
      <c r="O56">
        <v>12</v>
      </c>
      <c r="P56">
        <v>37.98185731292071</v>
      </c>
      <c r="Q56">
        <v>-0.76235185636593883</v>
      </c>
      <c r="R56">
        <v>-0.74635438895641615</v>
      </c>
      <c r="T56">
        <v>31.944444444444443</v>
      </c>
      <c r="U56">
        <v>33.532001011889705</v>
      </c>
      <c r="AB56">
        <v>12</v>
      </c>
      <c r="AC56">
        <v>33.777977451082059</v>
      </c>
      <c r="AD56">
        <v>1.0449727477439197</v>
      </c>
      <c r="AE56">
        <v>0.87257469201640037</v>
      </c>
      <c r="AG56">
        <v>31.944444444444443</v>
      </c>
      <c r="AH56">
        <v>32.570906877662814</v>
      </c>
      <c r="AO56">
        <v>12</v>
      </c>
      <c r="AP56">
        <v>268186.57114354603</v>
      </c>
      <c r="AQ56">
        <v>1245.4288564539747</v>
      </c>
      <c r="AR56">
        <v>5.336574937292729E-2</v>
      </c>
      <c r="AT56">
        <v>31.944444444444443</v>
      </c>
      <c r="AU56">
        <v>256801</v>
      </c>
    </row>
    <row r="57" spans="1:47" x14ac:dyDescent="0.35">
      <c r="O57">
        <v>13</v>
      </c>
      <c r="P57">
        <v>38.078868774710038</v>
      </c>
      <c r="Q57">
        <v>-0.56863192204042434</v>
      </c>
      <c r="R57">
        <v>-0.55669954388079224</v>
      </c>
      <c r="T57">
        <v>34.722222222222214</v>
      </c>
      <c r="U57">
        <v>33.604668395702113</v>
      </c>
      <c r="AB57">
        <v>13</v>
      </c>
      <c r="AC57">
        <v>34.012085693326235</v>
      </c>
      <c r="AD57">
        <v>0.46308506539630656</v>
      </c>
      <c r="AE57">
        <v>0.38668597739794791</v>
      </c>
      <c r="AG57">
        <v>34.722222222222214</v>
      </c>
      <c r="AH57">
        <v>32.689606243348706</v>
      </c>
      <c r="AO57">
        <v>13</v>
      </c>
      <c r="AP57">
        <v>267021.49851111864</v>
      </c>
      <c r="AQ57">
        <v>13292.50148888136</v>
      </c>
      <c r="AR57">
        <v>0.56957432720374768</v>
      </c>
      <c r="AT57">
        <v>34.722222222222214</v>
      </c>
      <c r="AU57">
        <v>257690</v>
      </c>
    </row>
    <row r="58" spans="1:47" x14ac:dyDescent="0.35">
      <c r="O58">
        <v>14</v>
      </c>
      <c r="P58">
        <v>37.552042641937433</v>
      </c>
      <c r="Q58">
        <v>-4.1891678897350459E-2</v>
      </c>
      <c r="R58">
        <v>-4.1012608737955626E-2</v>
      </c>
      <c r="T58">
        <v>37.499999999999993</v>
      </c>
      <c r="U58">
        <v>33.672252580449303</v>
      </c>
      <c r="AB58">
        <v>14</v>
      </c>
      <c r="AC58">
        <v>33.285135274913046</v>
      </c>
      <c r="AD58">
        <v>0.81415550522879698</v>
      </c>
      <c r="AE58">
        <v>0.67983733620062536</v>
      </c>
      <c r="AG58">
        <v>37.499999999999993</v>
      </c>
      <c r="AH58">
        <v>32.804945598417412</v>
      </c>
      <c r="AO58">
        <v>14</v>
      </c>
      <c r="AP58">
        <v>264691.35324626387</v>
      </c>
      <c r="AQ58">
        <v>23536.646753736131</v>
      </c>
      <c r="AR58">
        <v>1.0085287370932399</v>
      </c>
      <c r="AT58">
        <v>37.499999999999993</v>
      </c>
      <c r="AU58">
        <v>257757</v>
      </c>
    </row>
    <row r="59" spans="1:47" x14ac:dyDescent="0.35">
      <c r="O59">
        <v>15</v>
      </c>
      <c r="P59">
        <v>37.142438692160262</v>
      </c>
      <c r="Q59">
        <v>6.8701364904619311E-2</v>
      </c>
      <c r="R59">
        <v>6.725971058598168E-2</v>
      </c>
      <c r="T59">
        <v>40.277777777777771</v>
      </c>
      <c r="U59">
        <v>33.681581181035526</v>
      </c>
      <c r="AB59">
        <v>15</v>
      </c>
      <c r="AC59">
        <v>32.822418528233378</v>
      </c>
      <c r="AD59">
        <v>1.7122647115420833</v>
      </c>
      <c r="AE59">
        <v>1.429777816263704</v>
      </c>
      <c r="AG59">
        <v>40.277777777777771</v>
      </c>
      <c r="AH59">
        <v>32.809867629362216</v>
      </c>
      <c r="AO59">
        <v>15</v>
      </c>
      <c r="AP59">
        <v>264192.03640379495</v>
      </c>
      <c r="AQ59">
        <v>35766.963596205052</v>
      </c>
      <c r="AR59">
        <v>1.5325892002697714</v>
      </c>
      <c r="AT59">
        <v>40.277777777777771</v>
      </c>
      <c r="AU59">
        <v>259117</v>
      </c>
    </row>
    <row r="60" spans="1:47" x14ac:dyDescent="0.35">
      <c r="O60">
        <v>16</v>
      </c>
      <c r="P60">
        <v>36.265293391815078</v>
      </c>
      <c r="Q60">
        <v>1.0339989459106391</v>
      </c>
      <c r="R60">
        <v>1.0123011376078728</v>
      </c>
      <c r="T60">
        <v>43.05555555555555</v>
      </c>
      <c r="U60">
        <v>35.190766550522646</v>
      </c>
      <c r="AB60">
        <v>16</v>
      </c>
      <c r="AC60">
        <v>33.080659948324602</v>
      </c>
      <c r="AD60">
        <v>2.0847370043618483</v>
      </c>
      <c r="AE60">
        <v>1.7408001820560564</v>
      </c>
      <c r="AG60">
        <v>43.05555555555555</v>
      </c>
      <c r="AH60">
        <v>33.089466341123128</v>
      </c>
      <c r="AO60">
        <v>16</v>
      </c>
      <c r="AP60">
        <v>265689.98693120159</v>
      </c>
      <c r="AQ60">
        <v>40015.013068798406</v>
      </c>
      <c r="AR60">
        <v>1.7146151283694955</v>
      </c>
      <c r="AT60">
        <v>43.05555555555555</v>
      </c>
      <c r="AU60">
        <v>260109</v>
      </c>
    </row>
    <row r="61" spans="1:47" x14ac:dyDescent="0.35">
      <c r="O61">
        <v>17</v>
      </c>
      <c r="P61">
        <v>36.073965231063902</v>
      </c>
      <c r="Q61">
        <v>1.3352830379766516</v>
      </c>
      <c r="R61">
        <v>1.3072629751878673</v>
      </c>
      <c r="T61">
        <v>45.833333333333329</v>
      </c>
      <c r="U61">
        <v>36.827557058326292</v>
      </c>
      <c r="AB61">
        <v>17</v>
      </c>
      <c r="AC61">
        <v>34.039091868536033</v>
      </c>
      <c r="AD61">
        <v>1.6974888382452491</v>
      </c>
      <c r="AE61">
        <v>1.4174396446519617</v>
      </c>
      <c r="AG61">
        <v>45.833333333333329</v>
      </c>
      <c r="AH61">
        <v>33.456095481670928</v>
      </c>
      <c r="AO61">
        <v>17</v>
      </c>
      <c r="AP61">
        <v>262527.6469288987</v>
      </c>
      <c r="AQ61">
        <v>40038.353071101301</v>
      </c>
      <c r="AR61">
        <v>1.7156152310303623</v>
      </c>
      <c r="AT61">
        <v>45.833333333333329</v>
      </c>
      <c r="AU61">
        <v>261399</v>
      </c>
    </row>
    <row r="62" spans="1:47" x14ac:dyDescent="0.35">
      <c r="O62">
        <v>18</v>
      </c>
      <c r="P62">
        <v>35.591602684944739</v>
      </c>
      <c r="Q62">
        <v>2.0328998026174503</v>
      </c>
      <c r="R62">
        <v>1.9902406970251538</v>
      </c>
      <c r="T62">
        <v>48.611111111111107</v>
      </c>
      <c r="U62">
        <v>37.211140057064881</v>
      </c>
      <c r="AB62">
        <v>18</v>
      </c>
      <c r="AC62">
        <v>34.607206575608942</v>
      </c>
      <c r="AD62">
        <v>1.4459433965151973</v>
      </c>
      <c r="AE62">
        <v>1.2073937972175577</v>
      </c>
      <c r="AG62">
        <v>48.611111111111107</v>
      </c>
      <c r="AH62">
        <v>33.492779078844656</v>
      </c>
      <c r="AO62">
        <v>18</v>
      </c>
      <c r="AP62">
        <v>261861.89113894018</v>
      </c>
      <c r="AQ62">
        <v>40639.108861059824</v>
      </c>
      <c r="AR62">
        <v>1.7413571935319725</v>
      </c>
      <c r="AT62">
        <v>48.611111111111107</v>
      </c>
      <c r="AU62">
        <v>261402</v>
      </c>
    </row>
    <row r="63" spans="1:47" x14ac:dyDescent="0.35">
      <c r="O63">
        <v>19</v>
      </c>
      <c r="P63">
        <v>36.127860487613532</v>
      </c>
      <c r="Q63">
        <v>1.6288112142998585</v>
      </c>
      <c r="R63">
        <v>1.594631649969501</v>
      </c>
      <c r="T63">
        <v>51.388888888888886</v>
      </c>
      <c r="U63">
        <v>37.219505456554771</v>
      </c>
      <c r="AB63">
        <v>19</v>
      </c>
      <c r="AC63">
        <v>35.627038553744157</v>
      </c>
      <c r="AD63">
        <v>0.90853666749477924</v>
      </c>
      <c r="AE63">
        <v>0.75864763414781267</v>
      </c>
      <c r="AG63">
        <v>51.388888888888886</v>
      </c>
      <c r="AH63">
        <v>33.542304457527337</v>
      </c>
      <c r="AO63">
        <v>19</v>
      </c>
      <c r="AP63">
        <v>260363.94061153353</v>
      </c>
      <c r="AQ63">
        <v>39575.05938846647</v>
      </c>
      <c r="AR63">
        <v>1.695763423016257</v>
      </c>
      <c r="AT63">
        <v>51.388888888888886</v>
      </c>
      <c r="AU63">
        <v>261553</v>
      </c>
    </row>
    <row r="64" spans="1:47" x14ac:dyDescent="0.35">
      <c r="O64">
        <v>20</v>
      </c>
      <c r="P64">
        <v>35.879942307485244</v>
      </c>
      <c r="Q64">
        <v>1.7701275515265706</v>
      </c>
      <c r="R64">
        <v>1.7329825540037316</v>
      </c>
      <c r="T64">
        <v>54.166666666666664</v>
      </c>
      <c r="U64">
        <v>37.299292337725717</v>
      </c>
      <c r="AB64">
        <v>20</v>
      </c>
      <c r="AC64">
        <v>36.210503275298009</v>
      </c>
      <c r="AD64">
        <v>0.47288445876830565</v>
      </c>
      <c r="AE64">
        <v>0.39486868136987491</v>
      </c>
      <c r="AG64">
        <v>54.166666666666664</v>
      </c>
      <c r="AH64">
        <v>33.624878899438094</v>
      </c>
      <c r="AO64">
        <v>20</v>
      </c>
      <c r="AP64">
        <v>260031.06271655427</v>
      </c>
      <c r="AQ64">
        <v>36387.937283445732</v>
      </c>
      <c r="AR64">
        <v>1.5591974854309345</v>
      </c>
      <c r="AT64">
        <v>54.166666666666664</v>
      </c>
      <c r="AU64">
        <v>262465</v>
      </c>
    </row>
    <row r="65" spans="15:47" x14ac:dyDescent="0.35">
      <c r="O65">
        <v>21</v>
      </c>
      <c r="P65">
        <v>36.131902631854757</v>
      </c>
      <c r="Q65">
        <v>-0.94113608133211102</v>
      </c>
      <c r="R65">
        <v>-0.92138694100626994</v>
      </c>
      <c r="T65">
        <v>56.944444444444443</v>
      </c>
      <c r="U65">
        <v>37.375392969419835</v>
      </c>
      <c r="AB65">
        <v>21</v>
      </c>
      <c r="AC65">
        <v>35.12894289668327</v>
      </c>
      <c r="AD65">
        <v>-0.80343321705332471</v>
      </c>
      <c r="AE65">
        <v>-0.67088399524257336</v>
      </c>
      <c r="AG65">
        <v>56.944444444444443</v>
      </c>
      <c r="AH65">
        <v>33.924627371273715</v>
      </c>
      <c r="AO65">
        <v>21</v>
      </c>
      <c r="AP65">
        <v>259864.62376906464</v>
      </c>
      <c r="AQ65">
        <v>22928.376230935362</v>
      </c>
      <c r="AR65">
        <v>0.9824647735817883</v>
      </c>
      <c r="AT65">
        <v>56.944444444444443</v>
      </c>
      <c r="AU65">
        <v>265104</v>
      </c>
    </row>
    <row r="66" spans="15:47" x14ac:dyDescent="0.35">
      <c r="O66">
        <v>22</v>
      </c>
      <c r="P66">
        <v>35.800446804074546</v>
      </c>
      <c r="Q66">
        <v>-2.1281942236252434</v>
      </c>
      <c r="R66">
        <v>-2.0835354253954179</v>
      </c>
      <c r="T66">
        <v>59.722222222222214</v>
      </c>
      <c r="U66">
        <v>37.409248269040553</v>
      </c>
      <c r="AB66">
        <v>22</v>
      </c>
      <c r="AC66">
        <v>35.123443158874586</v>
      </c>
      <c r="AD66">
        <v>-1.1988157876008714</v>
      </c>
      <c r="AE66">
        <v>-1.0010369350862485</v>
      </c>
      <c r="AG66">
        <v>59.722222222222214</v>
      </c>
      <c r="AH66">
        <v>33.962082912032358</v>
      </c>
      <c r="AO66">
        <v>22</v>
      </c>
      <c r="AP66">
        <v>260031.06271655427</v>
      </c>
      <c r="AQ66">
        <v>17259.937283445732</v>
      </c>
      <c r="AR66">
        <v>0.73957615682951505</v>
      </c>
      <c r="AT66">
        <v>59.722222222222214</v>
      </c>
      <c r="AU66">
        <v>268668</v>
      </c>
    </row>
    <row r="67" spans="15:47" x14ac:dyDescent="0.35">
      <c r="O67">
        <v>23</v>
      </c>
      <c r="P67">
        <v>35.525580995671447</v>
      </c>
      <c r="Q67">
        <v>-1.8439998146359216</v>
      </c>
      <c r="R67">
        <v>-1.8053046547940808</v>
      </c>
      <c r="T67">
        <v>62.499999999999993</v>
      </c>
      <c r="U67">
        <v>37.510150963040083</v>
      </c>
      <c r="AB67">
        <v>23</v>
      </c>
      <c r="AC67">
        <v>35.334156994022131</v>
      </c>
      <c r="AD67">
        <v>-1.1599656193590562</v>
      </c>
      <c r="AE67">
        <v>-0.9685962100419101</v>
      </c>
      <c r="AG67">
        <v>62.499999999999993</v>
      </c>
      <c r="AH67">
        <v>34.097971602434079</v>
      </c>
      <c r="AO67">
        <v>23</v>
      </c>
      <c r="AP67">
        <v>260031.06271655427</v>
      </c>
      <c r="AQ67">
        <v>17740.937283445732</v>
      </c>
      <c r="AR67">
        <v>0.76018666807257673</v>
      </c>
      <c r="AT67">
        <v>62.499999999999993</v>
      </c>
      <c r="AU67">
        <v>269432</v>
      </c>
    </row>
    <row r="68" spans="15:47" x14ac:dyDescent="0.35">
      <c r="O68">
        <v>24</v>
      </c>
      <c r="P68">
        <v>35.18738826082253</v>
      </c>
      <c r="Q68">
        <v>-1.5827198651204171</v>
      </c>
      <c r="R68">
        <v>-1.5495074983513981</v>
      </c>
      <c r="T68">
        <v>65.277777777777771</v>
      </c>
      <c r="U68">
        <v>37.510236852669614</v>
      </c>
      <c r="AB68">
        <v>24</v>
      </c>
      <c r="AC68">
        <v>35.225229351154667</v>
      </c>
      <c r="AD68">
        <v>-1.2631464391223091</v>
      </c>
      <c r="AE68">
        <v>-1.0547544110297349</v>
      </c>
      <c r="AG68">
        <v>65.277777777777771</v>
      </c>
      <c r="AH68">
        <v>34.099290780141843</v>
      </c>
      <c r="AO68">
        <v>24</v>
      </c>
      <c r="AP68">
        <v>259864.62376906464</v>
      </c>
      <c r="AQ68">
        <v>12232.376230935362</v>
      </c>
      <c r="AR68">
        <v>0.52414870652193979</v>
      </c>
      <c r="AT68">
        <v>65.277777777777771</v>
      </c>
      <c r="AU68">
        <v>272097</v>
      </c>
    </row>
    <row r="69" spans="15:47" x14ac:dyDescent="0.35">
      <c r="O69">
        <v>25</v>
      </c>
      <c r="P69">
        <v>34.149904572242207</v>
      </c>
      <c r="Q69">
        <v>-0.61790356035250227</v>
      </c>
      <c r="R69">
        <v>-0.60493724829275652</v>
      </c>
      <c r="T69">
        <v>68.055555555555543</v>
      </c>
      <c r="U69">
        <v>37.624502487562189</v>
      </c>
      <c r="AB69">
        <v>25</v>
      </c>
      <c r="AC69">
        <v>35.051043625333435</v>
      </c>
      <c r="AD69">
        <v>-1.5087391678060982</v>
      </c>
      <c r="AE69">
        <v>-1.2598296151969159</v>
      </c>
      <c r="AG69">
        <v>68.055555555555543</v>
      </c>
      <c r="AH69">
        <v>34.174191374663074</v>
      </c>
      <c r="AO69">
        <v>25</v>
      </c>
      <c r="AP69">
        <v>259365.30692659575</v>
      </c>
      <c r="AQ69">
        <v>5738.6930734042544</v>
      </c>
      <c r="AR69">
        <v>0.24589895656939345</v>
      </c>
      <c r="AT69">
        <v>68.055555555555543</v>
      </c>
      <c r="AU69">
        <v>277291</v>
      </c>
    </row>
    <row r="70" spans="15:47" x14ac:dyDescent="0.35">
      <c r="O70">
        <v>26</v>
      </c>
      <c r="P70">
        <v>34.385696319646826</v>
      </c>
      <c r="Q70">
        <v>-1.0002309010300792</v>
      </c>
      <c r="R70">
        <v>-0.97924169360884683</v>
      </c>
      <c r="T70">
        <v>70.833333333333329</v>
      </c>
      <c r="U70">
        <v>37.650069859011815</v>
      </c>
      <c r="AB70">
        <v>26</v>
      </c>
      <c r="AC70">
        <v>34.78927252276798</v>
      </c>
      <c r="AD70">
        <v>-1.333177041097052</v>
      </c>
      <c r="AE70">
        <v>-1.1132314680455886</v>
      </c>
      <c r="AG70">
        <v>70.833333333333329</v>
      </c>
      <c r="AH70">
        <v>34.325509679629945</v>
      </c>
      <c r="AO70">
        <v>26</v>
      </c>
      <c r="AP70">
        <v>258366.67324165799</v>
      </c>
      <c r="AQ70">
        <v>-1565.6732416579907</v>
      </c>
      <c r="AR70">
        <v>-6.7087995738363326E-2</v>
      </c>
      <c r="AT70">
        <v>70.833333333333329</v>
      </c>
      <c r="AU70">
        <v>277772</v>
      </c>
    </row>
    <row r="71" spans="15:47" x14ac:dyDescent="0.35">
      <c r="O71">
        <v>27</v>
      </c>
      <c r="P71">
        <v>34.024598100764322</v>
      </c>
      <c r="Q71">
        <v>-0.63387754771991922</v>
      </c>
      <c r="R71">
        <v>-0.62057603172490861</v>
      </c>
      <c r="T71">
        <v>73.6111111111111</v>
      </c>
      <c r="U71">
        <v>37.722422602945599</v>
      </c>
      <c r="AB71">
        <v>27</v>
      </c>
      <c r="AC71">
        <v>34.256947154270968</v>
      </c>
      <c r="AD71">
        <v>-1.16748081314784</v>
      </c>
      <c r="AE71">
        <v>-0.97487155829367012</v>
      </c>
      <c r="AG71">
        <v>73.6111111111111</v>
      </c>
      <c r="AH71">
        <v>34.475170758722541</v>
      </c>
      <c r="AO71">
        <v>27</v>
      </c>
      <c r="AP71">
        <v>258699.55113663725</v>
      </c>
      <c r="AQ71">
        <v>-7534.5511366372521</v>
      </c>
      <c r="AR71">
        <v>-0.32285020979851314</v>
      </c>
      <c r="AT71">
        <v>73.6111111111111</v>
      </c>
      <c r="AU71">
        <v>277875</v>
      </c>
    </row>
    <row r="72" spans="15:47" x14ac:dyDescent="0.35">
      <c r="O72">
        <v>28</v>
      </c>
      <c r="P72">
        <v>33.495077205164236</v>
      </c>
      <c r="Q72">
        <v>-0.20783306798109891</v>
      </c>
      <c r="R72">
        <v>-0.20347182362406702</v>
      </c>
      <c r="T72">
        <v>76.388888888888886</v>
      </c>
      <c r="U72">
        <v>37.75667170191339</v>
      </c>
      <c r="AB72">
        <v>28</v>
      </c>
      <c r="AC72">
        <v>33.811140049212021</v>
      </c>
      <c r="AD72">
        <v>-1.1215338058633151</v>
      </c>
      <c r="AE72">
        <v>-0.9365048201974584</v>
      </c>
      <c r="AG72">
        <v>76.388888888888886</v>
      </c>
      <c r="AH72">
        <v>34.510714285714286</v>
      </c>
      <c r="AO72">
        <v>28</v>
      </c>
      <c r="AP72">
        <v>259698.18482157501</v>
      </c>
      <c r="AQ72">
        <v>-14138.184821575007</v>
      </c>
      <c r="AR72">
        <v>-0.60581126241487504</v>
      </c>
      <c r="AT72">
        <v>76.388888888888886</v>
      </c>
      <c r="AU72">
        <v>280314</v>
      </c>
    </row>
    <row r="73" spans="15:47" x14ac:dyDescent="0.35">
      <c r="O73">
        <v>29</v>
      </c>
      <c r="P73">
        <v>32.871239610602302</v>
      </c>
      <c r="Q73">
        <v>-0.16452875724687743</v>
      </c>
      <c r="R73">
        <v>-0.16107622622723397</v>
      </c>
      <c r="T73">
        <v>79.166666666666657</v>
      </c>
      <c r="U73">
        <v>38.238611069891675</v>
      </c>
      <c r="AB73">
        <v>29</v>
      </c>
      <c r="AC73">
        <v>33.266748091791484</v>
      </c>
      <c r="AD73">
        <v>-1.3916135385083841</v>
      </c>
      <c r="AE73">
        <v>-1.1620271986914807</v>
      </c>
      <c r="AG73">
        <v>79.166666666666657</v>
      </c>
      <c r="AH73">
        <v>34.534683239775461</v>
      </c>
      <c r="AO73">
        <v>29</v>
      </c>
      <c r="AP73">
        <v>258366.67324165799</v>
      </c>
      <c r="AQ73">
        <v>-21504.673241657991</v>
      </c>
      <c r="AR73">
        <v>-0.92146010317163929</v>
      </c>
      <c r="AT73">
        <v>79.166666666666657</v>
      </c>
      <c r="AU73">
        <v>282793</v>
      </c>
    </row>
    <row r="74" spans="15:47" x14ac:dyDescent="0.35">
      <c r="O74">
        <v>30</v>
      </c>
      <c r="P74">
        <v>33.00463037056263</v>
      </c>
      <c r="Q74">
        <v>-0.41722069852260546</v>
      </c>
      <c r="R74">
        <v>-0.4084655883048508</v>
      </c>
      <c r="T74">
        <v>81.944444444444443</v>
      </c>
      <c r="U74">
        <v>38.25734534179832</v>
      </c>
      <c r="AB74">
        <v>30</v>
      </c>
      <c r="AC74">
        <v>32.661530675919707</v>
      </c>
      <c r="AD74">
        <v>-1.5793989000481972</v>
      </c>
      <c r="AE74">
        <v>-1.3188320095007149</v>
      </c>
      <c r="AG74">
        <v>81.944444444444443</v>
      </c>
      <c r="AH74">
        <v>34.822950198825978</v>
      </c>
      <c r="AO74">
        <v>30</v>
      </c>
      <c r="AP74">
        <v>259198.86797910611</v>
      </c>
      <c r="AQ74">
        <v>-24699.867979106115</v>
      </c>
      <c r="AR74">
        <v>-1.0583719473711111</v>
      </c>
      <c r="AT74">
        <v>81.944444444444443</v>
      </c>
      <c r="AU74">
        <v>288228</v>
      </c>
    </row>
    <row r="75" spans="15:47" x14ac:dyDescent="0.35">
      <c r="O75">
        <v>31</v>
      </c>
      <c r="P75">
        <v>32.704164315298456</v>
      </c>
      <c r="Q75">
        <v>-0.2250997585136929</v>
      </c>
      <c r="R75">
        <v>-0.22037618367007675</v>
      </c>
      <c r="T75">
        <v>84.722222222222214</v>
      </c>
      <c r="U75">
        <v>38.713878041453889</v>
      </c>
      <c r="AB75">
        <v>31</v>
      </c>
      <c r="AC75">
        <v>32.340822084598528</v>
      </c>
      <c r="AD75">
        <v>-1.6694856790685755</v>
      </c>
      <c r="AE75">
        <v>-1.3940564051877491</v>
      </c>
      <c r="AG75">
        <v>84.722222222222214</v>
      </c>
      <c r="AH75">
        <v>34.871290944123317</v>
      </c>
      <c r="AO75">
        <v>31</v>
      </c>
      <c r="AP75">
        <v>259032.42903161648</v>
      </c>
      <c r="AQ75">
        <v>-27099.429031616484</v>
      </c>
      <c r="AR75">
        <v>-1.1611914485170107</v>
      </c>
      <c r="AT75">
        <v>84.722222222222214</v>
      </c>
      <c r="AU75">
        <v>296419</v>
      </c>
    </row>
    <row r="76" spans="15:47" x14ac:dyDescent="0.35">
      <c r="O76">
        <v>32</v>
      </c>
      <c r="P76">
        <v>32.123442925976221</v>
      </c>
      <c r="Q76">
        <v>0.21437031775890603</v>
      </c>
      <c r="R76">
        <v>0.20987189338533047</v>
      </c>
      <c r="T76">
        <v>87.5</v>
      </c>
      <c r="U76">
        <v>38.991497613365155</v>
      </c>
      <c r="AB76">
        <v>32</v>
      </c>
      <c r="AC76">
        <v>31.870471373497857</v>
      </c>
      <c r="AD76">
        <v>-1.4362982346458004</v>
      </c>
      <c r="AE76">
        <v>-1.1993398798634376</v>
      </c>
      <c r="AG76">
        <v>87.5</v>
      </c>
      <c r="AH76">
        <v>35.16539695268645</v>
      </c>
      <c r="AO76">
        <v>32</v>
      </c>
      <c r="AP76">
        <v>258533.11218914762</v>
      </c>
      <c r="AQ76">
        <v>-27544.112189147621</v>
      </c>
      <c r="AR76">
        <v>-1.1802458086373757</v>
      </c>
      <c r="AT76">
        <v>87.5</v>
      </c>
      <c r="AU76">
        <v>299939</v>
      </c>
    </row>
    <row r="77" spans="15:47" x14ac:dyDescent="0.35">
      <c r="O77">
        <v>33</v>
      </c>
      <c r="P77">
        <v>31.872829983020459</v>
      </c>
      <c r="Q77">
        <v>0.31154721613506808</v>
      </c>
      <c r="R77">
        <v>0.30500959653720106</v>
      </c>
      <c r="T77">
        <v>90.277777777777771</v>
      </c>
      <c r="U77">
        <v>39.486234391454794</v>
      </c>
      <c r="AB77">
        <v>33</v>
      </c>
      <c r="AC77">
        <v>31.196137849642351</v>
      </c>
      <c r="AD77">
        <v>-1.0682722369941295</v>
      </c>
      <c r="AE77">
        <v>-0.89203026604982338</v>
      </c>
      <c r="AG77">
        <v>90.277777777777771</v>
      </c>
      <c r="AH77">
        <v>35.736580706781282</v>
      </c>
      <c r="AO77">
        <v>33</v>
      </c>
      <c r="AP77">
        <v>257700.91745169947</v>
      </c>
      <c r="AQ77">
        <v>-29030.917451699468</v>
      </c>
      <c r="AR77">
        <v>-1.2439543670158957</v>
      </c>
      <c r="AT77">
        <v>90.277777777777771</v>
      </c>
      <c r="AU77">
        <v>299959</v>
      </c>
    </row>
    <row r="78" spans="15:47" x14ac:dyDescent="0.35">
      <c r="O78">
        <v>34</v>
      </c>
      <c r="P78">
        <v>31.628953947133397</v>
      </c>
      <c r="Q78">
        <v>0.44975955265501</v>
      </c>
      <c r="R78">
        <v>0.44032163533948326</v>
      </c>
      <c r="T78">
        <v>93.055555555555543</v>
      </c>
      <c r="U78">
        <v>39.705235841856208</v>
      </c>
      <c r="AB78">
        <v>34</v>
      </c>
      <c r="AC78">
        <v>30.706332842113952</v>
      </c>
      <c r="AD78">
        <v>-0.75132261716507642</v>
      </c>
      <c r="AE78">
        <v>-0.62737052491863621</v>
      </c>
      <c r="AG78">
        <v>93.055555555555543</v>
      </c>
      <c r="AH78">
        <v>36.053149972124139</v>
      </c>
      <c r="AO78">
        <v>34</v>
      </c>
      <c r="AP78">
        <v>257534.47850420984</v>
      </c>
      <c r="AQ78">
        <v>-30128.478504209837</v>
      </c>
      <c r="AR78">
        <v>-1.290984085129641</v>
      </c>
      <c r="AT78">
        <v>93.055555555555543</v>
      </c>
      <c r="AU78">
        <v>302501</v>
      </c>
    </row>
    <row r="79" spans="15:47" x14ac:dyDescent="0.35">
      <c r="O79">
        <v>35</v>
      </c>
      <c r="P79">
        <v>31.531942485344068</v>
      </c>
      <c r="Q79">
        <v>0.48546590999497141</v>
      </c>
      <c r="R79">
        <v>0.47527871754737944</v>
      </c>
      <c r="T79">
        <v>95.833333333333329</v>
      </c>
      <c r="U79">
        <v>39.732031943212064</v>
      </c>
      <c r="AB79">
        <v>35</v>
      </c>
      <c r="AC79">
        <v>30.444479653909561</v>
      </c>
      <c r="AD79">
        <v>-1.0637127890336124</v>
      </c>
      <c r="AE79">
        <v>-0.88822302905871287</v>
      </c>
      <c r="AG79">
        <v>95.833333333333329</v>
      </c>
      <c r="AH79">
        <v>36.535575221238936</v>
      </c>
      <c r="AO79">
        <v>35</v>
      </c>
      <c r="AP79">
        <v>257534.47850420984</v>
      </c>
      <c r="AQ79">
        <v>-29474.478504209837</v>
      </c>
      <c r="AR79">
        <v>-1.2629606457263929</v>
      </c>
      <c r="AT79">
        <v>95.833333333333329</v>
      </c>
      <c r="AU79">
        <v>302566</v>
      </c>
    </row>
    <row r="80" spans="15:47" ht="15" thickBot="1" x14ac:dyDescent="0.4">
      <c r="O80" s="16">
        <v>36</v>
      </c>
      <c r="P80" s="16">
        <v>31.200486657563857</v>
      </c>
      <c r="Q80" s="16">
        <v>0.74472851797408168</v>
      </c>
      <c r="R80" s="16">
        <v>0.72910086507896799</v>
      </c>
      <c r="T80" s="16">
        <v>98.6111111111111</v>
      </c>
      <c r="U80" s="16">
        <v>40.010799136069117</v>
      </c>
      <c r="AB80" s="16">
        <v>36</v>
      </c>
      <c r="AC80" s="16">
        <v>30.459090897640088</v>
      </c>
      <c r="AD80" s="16">
        <v>-1.1858813485684685</v>
      </c>
      <c r="AE80" s="16">
        <v>-0.99023640064219642</v>
      </c>
      <c r="AG80" s="16">
        <v>98.6111111111111</v>
      </c>
      <c r="AH80" s="16">
        <v>36.683387734066315</v>
      </c>
      <c r="AO80" s="16">
        <v>36</v>
      </c>
      <c r="AP80" s="16">
        <v>257035.16166174095</v>
      </c>
      <c r="AQ80" s="16">
        <v>-31374.161661740945</v>
      </c>
      <c r="AR80" s="16">
        <v>-1.3443607311246253</v>
      </c>
      <c r="AT80" s="16">
        <v>98.6111111111111</v>
      </c>
      <c r="AU80" s="16">
        <v>305705</v>
      </c>
    </row>
  </sheetData>
  <sortState xmlns:xlrd2="http://schemas.microsoft.com/office/spreadsheetml/2017/richdata2" ref="AU45:AU80">
    <sortCondition ref="AU45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30E42-443C-42FE-9B9D-3590EE5B53E7}">
  <dimension ref="A1:AJ74"/>
  <sheetViews>
    <sheetView showGridLines="0" zoomScale="55" zoomScaleNormal="5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S7" sqref="S7"/>
    </sheetView>
  </sheetViews>
  <sheetFormatPr defaultRowHeight="14.5" x14ac:dyDescent="0.35"/>
  <cols>
    <col min="1" max="1" width="10.90625" bestFit="1" customWidth="1"/>
    <col min="2" max="2" width="9.90625" bestFit="1" customWidth="1"/>
    <col min="3" max="3" width="8.7265625" bestFit="1" customWidth="1"/>
    <col min="4" max="4" width="7.36328125" bestFit="1" customWidth="1"/>
    <col min="5" max="5" width="12.26953125" bestFit="1" customWidth="1"/>
    <col min="6" max="6" width="10.6328125" bestFit="1" customWidth="1"/>
    <col min="7" max="7" width="9.7265625" bestFit="1" customWidth="1"/>
    <col min="8" max="8" width="14.6328125" bestFit="1" customWidth="1"/>
    <col min="9" max="9" width="13.36328125" bestFit="1" customWidth="1"/>
    <col min="10" max="10" width="15.08984375" customWidth="1"/>
    <col min="11" max="11" width="16.81640625" customWidth="1"/>
    <col min="12" max="12" width="11.54296875" bestFit="1" customWidth="1"/>
    <col min="13" max="13" width="12.90625" bestFit="1" customWidth="1"/>
    <col min="14" max="14" width="13.1796875" bestFit="1" customWidth="1"/>
    <col min="15" max="15" width="9.7265625" customWidth="1"/>
    <col min="16" max="16" width="12.26953125" bestFit="1" customWidth="1"/>
    <col min="17" max="17" width="11.08984375" bestFit="1" customWidth="1"/>
    <col min="18" max="18" width="10.08984375" bestFit="1" customWidth="1"/>
    <col min="19" max="19" width="21.81640625" bestFit="1" customWidth="1"/>
    <col min="20" max="20" width="13.36328125" bestFit="1" customWidth="1"/>
    <col min="21" max="22" width="11.453125" bestFit="1" customWidth="1"/>
    <col min="23" max="27" width="11.453125" customWidth="1"/>
    <col min="29" max="29" width="15.81640625" bestFit="1" customWidth="1"/>
    <col min="31" max="31" width="8.36328125" customWidth="1"/>
  </cols>
  <sheetData>
    <row r="1" spans="1:31" x14ac:dyDescent="0.35">
      <c r="A1" s="22"/>
      <c r="I1" s="44"/>
      <c r="N1" s="39"/>
      <c r="O1" s="39"/>
    </row>
    <row r="2" spans="1:31" x14ac:dyDescent="0.35">
      <c r="C2" s="34" t="s">
        <v>103</v>
      </c>
      <c r="D2" s="39"/>
      <c r="E2" s="23"/>
      <c r="F2" s="34" t="s">
        <v>103</v>
      </c>
      <c r="G2" s="34" t="s">
        <v>103</v>
      </c>
      <c r="I2" s="39" t="s">
        <v>117</v>
      </c>
      <c r="J2" s="39"/>
      <c r="K2" s="39"/>
      <c r="M2" s="39"/>
      <c r="N2" s="39"/>
      <c r="O2" s="23"/>
    </row>
    <row r="3" spans="1:31" x14ac:dyDescent="0.35">
      <c r="C3" s="28">
        <f>AVERAGE(C33:C42)</f>
        <v>4.1635878990433526E-3</v>
      </c>
      <c r="D3" s="39"/>
      <c r="F3" s="28">
        <f>(F42/F33)^(1/COUNT($F$33:$F$42))-1</f>
        <v>-1.0650499531935198E-2</v>
      </c>
      <c r="G3" s="28">
        <f>($G$42/$G$33)^(1/COUNT($G$33:$G$42))-1</f>
        <v>1.4450788224953826E-2</v>
      </c>
      <c r="I3" s="49">
        <f>I42</f>
        <v>2.2199886749716873</v>
      </c>
      <c r="J3" s="50">
        <f>J42</f>
        <v>31.945215175537939</v>
      </c>
      <c r="K3" s="50">
        <f>K42</f>
        <v>14.389809973217703</v>
      </c>
      <c r="N3" s="39"/>
      <c r="O3" s="23"/>
    </row>
    <row r="4" spans="1:31" x14ac:dyDescent="0.35">
      <c r="C4" s="34" t="s">
        <v>110</v>
      </c>
      <c r="D4" s="39"/>
      <c r="F4" s="34" t="s">
        <v>115</v>
      </c>
      <c r="G4" s="34" t="s">
        <v>116</v>
      </c>
      <c r="I4" s="34" t="s">
        <v>112</v>
      </c>
      <c r="J4" s="34" t="s">
        <v>106</v>
      </c>
      <c r="K4" s="34" t="s">
        <v>26</v>
      </c>
      <c r="N4" s="39"/>
      <c r="O4" s="23"/>
    </row>
    <row r="5" spans="1:31" x14ac:dyDescent="0.35">
      <c r="A5" s="22" t="s">
        <v>101</v>
      </c>
      <c r="J5" s="22"/>
      <c r="K5" s="22"/>
      <c r="M5" s="22" t="s">
        <v>102</v>
      </c>
      <c r="AC5" s="22" t="s">
        <v>120</v>
      </c>
    </row>
    <row r="6" spans="1:31" s="33" customFormat="1" ht="58" x14ac:dyDescent="0.35">
      <c r="A6" s="30" t="s">
        <v>53</v>
      </c>
      <c r="B6" s="31" t="s">
        <v>109</v>
      </c>
      <c r="C6" s="31" t="s">
        <v>103</v>
      </c>
      <c r="D6" s="31" t="s">
        <v>104</v>
      </c>
      <c r="E6" s="31" t="s">
        <v>105</v>
      </c>
      <c r="F6" s="31" t="s">
        <v>108</v>
      </c>
      <c r="G6" s="31" t="s">
        <v>107</v>
      </c>
      <c r="H6" s="31" t="s">
        <v>111</v>
      </c>
      <c r="I6" s="31" t="s">
        <v>112</v>
      </c>
      <c r="J6" s="35" t="s">
        <v>113</v>
      </c>
      <c r="K6" s="35" t="s">
        <v>26</v>
      </c>
      <c r="M6" s="30" t="s">
        <v>53</v>
      </c>
      <c r="N6" s="51" t="s">
        <v>109</v>
      </c>
      <c r="O6" s="51" t="s">
        <v>104</v>
      </c>
      <c r="P6" s="31" t="s">
        <v>105</v>
      </c>
      <c r="Q6" s="51" t="s">
        <v>108</v>
      </c>
      <c r="R6" s="51" t="s">
        <v>107</v>
      </c>
      <c r="S6" s="31" t="s">
        <v>111</v>
      </c>
      <c r="T6" s="31" t="s">
        <v>117</v>
      </c>
      <c r="U6" s="32" t="s">
        <v>106</v>
      </c>
      <c r="V6" s="32" t="s">
        <v>26</v>
      </c>
      <c r="W6" s="63"/>
      <c r="X6" s="63"/>
      <c r="Y6" s="63"/>
      <c r="Z6" s="63"/>
      <c r="AA6" s="63"/>
      <c r="AC6" s="40" t="s">
        <v>118</v>
      </c>
      <c r="AD6" s="40" t="s">
        <v>119</v>
      </c>
      <c r="AE6" s="40" t="s">
        <v>122</v>
      </c>
    </row>
    <row r="7" spans="1:31" x14ac:dyDescent="0.35">
      <c r="A7" s="2">
        <v>1985</v>
      </c>
      <c r="B7" s="3">
        <v>251</v>
      </c>
      <c r="C7" s="24"/>
      <c r="D7" s="29">
        <f>VLOOKUP(A7,Raw_Data!$R$19:$S$57,2,FALSE)</f>
        <v>6945</v>
      </c>
      <c r="E7" s="29">
        <f t="shared" ref="E7:E42" si="0">D7/B7</f>
        <v>27.669322709163346</v>
      </c>
      <c r="F7" s="3">
        <v>277875</v>
      </c>
      <c r="G7" s="3">
        <v>10351</v>
      </c>
      <c r="H7" s="3">
        <f t="shared" ref="H7:H42" si="1">G7/B7</f>
        <v>41.239043824701199</v>
      </c>
      <c r="I7" s="48">
        <f t="shared" ref="I7:I42" si="2">H7/E7</f>
        <v>1.4904247660187186</v>
      </c>
      <c r="J7" s="26">
        <f t="shared" ref="J7:J42" si="3">F7/D7</f>
        <v>40.010799136069117</v>
      </c>
      <c r="K7" s="36">
        <f t="shared" ref="K7:K42" si="4">J7/I7</f>
        <v>26.845232344700996</v>
      </c>
      <c r="M7" s="2">
        <f>A42+1</f>
        <v>2021</v>
      </c>
      <c r="N7" s="27">
        <f>B42*(1+$C$3)</f>
        <v>180.74944582182781</v>
      </c>
      <c r="O7" s="29" cm="1">
        <f t="array" ref="O7">TREND($D$33:$D$42,$F$33:$F$42,Q7)</f>
        <v>7013.433732908994</v>
      </c>
      <c r="P7" s="37">
        <f>O7/N7</f>
        <v>38.801965345013699</v>
      </c>
      <c r="Q7" s="29">
        <f>F42*(1+$F$3)</f>
        <v>223257.59762512398</v>
      </c>
      <c r="R7" s="29">
        <f>G42*(1+$G$3)</f>
        <v>15908.617260943725</v>
      </c>
      <c r="S7" s="37">
        <f t="shared" ref="S7:S16" si="5">R7/N7</f>
        <v>88.014749857797668</v>
      </c>
      <c r="T7" s="47">
        <f t="shared" ref="T7:T16" si="6">S7/P7</f>
        <v>2.2683064910553075</v>
      </c>
      <c r="U7" s="27">
        <f>Q7/O7</f>
        <v>31.832851942057548</v>
      </c>
      <c r="V7" s="27">
        <f t="shared" ref="V7:V16" si="7">U7/T7</f>
        <v>14.033752523120288</v>
      </c>
      <c r="W7" s="64"/>
      <c r="X7" s="92"/>
      <c r="Y7" s="64"/>
      <c r="Z7" s="64"/>
      <c r="AA7" s="64"/>
      <c r="AC7" s="28">
        <f>G3</f>
        <v>1.4450788224953826E-2</v>
      </c>
      <c r="AD7" s="41">
        <v>7.4999999999999997E-2</v>
      </c>
      <c r="AE7" s="42">
        <f>(1+AC7)*(1+AD7)-1</f>
        <v>9.0534597341825229E-2</v>
      </c>
    </row>
    <row r="8" spans="1:31" x14ac:dyDescent="0.35">
      <c r="A8" s="2">
        <v>1986</v>
      </c>
      <c r="B8" s="3">
        <v>235</v>
      </c>
      <c r="C8" s="28">
        <f t="shared" ref="C8:C42" si="8">B8/B7-1</f>
        <v>-6.374501992031878E-2</v>
      </c>
      <c r="D8" s="29">
        <f>VLOOKUP(A8,Raw_Data!$R$19:$S$57,2,FALSE)</f>
        <v>6762</v>
      </c>
      <c r="E8" s="29">
        <f>D8/B8</f>
        <v>28.774468085106381</v>
      </c>
      <c r="F8" s="3">
        <v>268668</v>
      </c>
      <c r="G8" s="3">
        <v>10256</v>
      </c>
      <c r="H8" s="3">
        <f t="shared" si="1"/>
        <v>43.642553191489363</v>
      </c>
      <c r="I8" s="48">
        <f t="shared" si="2"/>
        <v>1.5167110322389827</v>
      </c>
      <c r="J8" s="26">
        <f>F8/D8</f>
        <v>39.732031943212064</v>
      </c>
      <c r="K8" s="36">
        <f t="shared" si="4"/>
        <v>26.19617784711388</v>
      </c>
      <c r="M8" s="2">
        <f t="shared" ref="M8:M16" si="9">M7+1</f>
        <v>2022</v>
      </c>
      <c r="N8" s="27">
        <f t="shared" ref="N8:N16" si="10">N7*(1+$C$3)</f>
        <v>181.50201202721036</v>
      </c>
      <c r="O8" s="29" cm="1">
        <f t="array" ref="O8">TREND($D$33:$D$42,$F$33:$F$42,Q8)</f>
        <v>6972.400954736675</v>
      </c>
      <c r="P8" s="37">
        <f t="shared" ref="P8:P16" si="11">O8/N8</f>
        <v>38.415006406052342</v>
      </c>
      <c r="Q8" s="29">
        <f>Q7*(1+$F$3)</f>
        <v>220879.79268611662</v>
      </c>
      <c r="R8" s="29">
        <f t="shared" ref="R8:R16" si="12">R7*(1+$G$3)</f>
        <v>16138.509319933468</v>
      </c>
      <c r="S8" s="37">
        <f t="shared" si="5"/>
        <v>88.916421034021482</v>
      </c>
      <c r="T8" s="47">
        <f t="shared" si="6"/>
        <v>2.3146272603513758</v>
      </c>
      <c r="U8" s="27">
        <f>Q8/O8</f>
        <v>31.679158172345602</v>
      </c>
      <c r="V8" s="27">
        <f t="shared" si="7"/>
        <v>13.686505259398222</v>
      </c>
      <c r="W8" s="64"/>
      <c r="X8" s="92"/>
      <c r="Y8" s="64"/>
      <c r="Z8" s="64"/>
      <c r="AA8" s="64"/>
    </row>
    <row r="9" spans="1:31" x14ac:dyDescent="0.35">
      <c r="A9" s="2">
        <v>1987</v>
      </c>
      <c r="B9" s="3">
        <v>229</v>
      </c>
      <c r="C9" s="28">
        <f t="shared" si="8"/>
        <v>-2.5531914893617058E-2</v>
      </c>
      <c r="D9" s="29">
        <f>VLOOKUP(A9,Raw_Data!$R$19:$S$57,2,FALSE)</f>
        <v>6704</v>
      </c>
      <c r="E9" s="29">
        <f t="shared" si="0"/>
        <v>29.275109170305676</v>
      </c>
      <c r="F9" s="3">
        <v>261399</v>
      </c>
      <c r="G9" s="3">
        <v>10190</v>
      </c>
      <c r="H9" s="3">
        <f t="shared" si="1"/>
        <v>44.497816593886462</v>
      </c>
      <c r="I9" s="48">
        <f t="shared" si="2"/>
        <v>1.5199880668257757</v>
      </c>
      <c r="J9" s="26">
        <f t="shared" si="3"/>
        <v>38.991497613365155</v>
      </c>
      <c r="K9" s="36">
        <f t="shared" si="4"/>
        <v>25.652502453385672</v>
      </c>
      <c r="M9" s="2">
        <f t="shared" si="9"/>
        <v>2023</v>
      </c>
      <c r="N9" s="27">
        <f t="shared" si="10"/>
        <v>182.25771160813886</v>
      </c>
      <c r="O9" s="29" cm="1">
        <f t="array" ref="O9">TREND($D$33:$D$42,$F$33:$F$42,Q9)</f>
        <v>6931.8051961490728</v>
      </c>
      <c r="P9" s="37">
        <f>O9/N9</f>
        <v>38.032987109224344</v>
      </c>
      <c r="Q9" s="29">
        <f t="shared" ref="Q9:Q16" si="13">Q8*(1+$F$3)</f>
        <v>218527.31255749919</v>
      </c>
      <c r="R9" s="29">
        <f t="shared" si="12"/>
        <v>16371.72350038227</v>
      </c>
      <c r="S9" s="37">
        <f t="shared" si="5"/>
        <v>89.827329422318812</v>
      </c>
      <c r="T9" s="47">
        <f t="shared" si="6"/>
        <v>2.361826831122936</v>
      </c>
      <c r="U9" s="27">
        <f t="shared" ref="U9:U16" si="14">Q9/O9</f>
        <v>31.525310705341354</v>
      </c>
      <c r="V9" s="27">
        <f t="shared" si="7"/>
        <v>13.347850185253664</v>
      </c>
      <c r="W9" s="64"/>
      <c r="X9" s="92"/>
      <c r="Y9" s="64"/>
      <c r="Z9" s="64"/>
      <c r="AA9" s="64"/>
      <c r="AC9" t="s">
        <v>121</v>
      </c>
    </row>
    <row r="10" spans="1:31" x14ac:dyDescent="0.35">
      <c r="A10" s="2">
        <v>1988</v>
      </c>
      <c r="B10" s="3">
        <v>220</v>
      </c>
      <c r="C10" s="28">
        <f t="shared" si="8"/>
        <v>-3.9301310043668103E-2</v>
      </c>
      <c r="D10" s="29">
        <f>VLOOKUP(A10,Raw_Data!$R$19:$S$57,2,FALSE)</f>
        <v>6773</v>
      </c>
      <c r="E10" s="29">
        <f t="shared" si="0"/>
        <v>30.786363636363635</v>
      </c>
      <c r="F10" s="3">
        <v>259117</v>
      </c>
      <c r="G10" s="3">
        <v>9962</v>
      </c>
      <c r="H10" s="3">
        <f t="shared" si="1"/>
        <v>45.281818181818181</v>
      </c>
      <c r="I10" s="48">
        <f t="shared" si="2"/>
        <v>1.4708401003986418</v>
      </c>
      <c r="J10" s="26">
        <f t="shared" si="3"/>
        <v>38.25734534179832</v>
      </c>
      <c r="K10" s="36">
        <f t="shared" si="4"/>
        <v>26.010540052198355</v>
      </c>
      <c r="M10" s="2">
        <f t="shared" si="9"/>
        <v>2024</v>
      </c>
      <c r="N10" s="27">
        <f t="shared" si="10"/>
        <v>183.01655761069784</v>
      </c>
      <c r="O10" s="29" cm="1">
        <f t="array" ref="O10">TREND($D$33:$D$42,$F$33:$F$42,Q10)</f>
        <v>6891.6418026693082</v>
      </c>
      <c r="P10" s="37">
        <f t="shared" si="11"/>
        <v>37.655837770311507</v>
      </c>
      <c r="Q10" s="29">
        <f t="shared" si="13"/>
        <v>216199.88751739048</v>
      </c>
      <c r="R10" s="29">
        <f t="shared" si="12"/>
        <v>16608.307809563794</v>
      </c>
      <c r="S10" s="37">
        <f t="shared" si="5"/>
        <v>90.747569653736022</v>
      </c>
      <c r="T10" s="47">
        <f t="shared" si="6"/>
        <v>2.4099203477364384</v>
      </c>
      <c r="U10" s="27">
        <f t="shared" si="14"/>
        <v>31.371318142746588</v>
      </c>
      <c r="V10" s="27">
        <f t="shared" si="7"/>
        <v>13.017574697940814</v>
      </c>
      <c r="W10" s="64"/>
      <c r="X10" s="92"/>
      <c r="Y10" s="64"/>
      <c r="Z10" s="64"/>
      <c r="AA10" s="64"/>
      <c r="AC10" s="24" t="str">
        <f>IF(AE7&gt;Model!P19,"Insufficient","Sufficient")</f>
        <v>Insufficient</v>
      </c>
    </row>
    <row r="11" spans="1:31" x14ac:dyDescent="0.35">
      <c r="A11" s="2">
        <v>1989</v>
      </c>
      <c r="B11" s="3">
        <v>211</v>
      </c>
      <c r="C11" s="28">
        <f t="shared" si="8"/>
        <v>-4.0909090909090895E-2</v>
      </c>
      <c r="D11" s="29">
        <f>VLOOKUP(A11,Raw_Data!$R$19:$S$57,2,FALSE)</f>
        <v>6739</v>
      </c>
      <c r="E11" s="29">
        <f t="shared" si="0"/>
        <v>31.938388625592417</v>
      </c>
      <c r="F11" s="3">
        <v>257690</v>
      </c>
      <c r="G11" s="3">
        <v>9998</v>
      </c>
      <c r="H11" s="3">
        <f t="shared" si="1"/>
        <v>47.383886255924168</v>
      </c>
      <c r="I11" s="48">
        <f t="shared" si="2"/>
        <v>1.483602908443389</v>
      </c>
      <c r="J11" s="26">
        <f t="shared" si="3"/>
        <v>38.238611069891675</v>
      </c>
      <c r="K11" s="36">
        <f t="shared" si="4"/>
        <v>25.774154830966197</v>
      </c>
      <c r="M11" s="2">
        <f t="shared" si="9"/>
        <v>2025</v>
      </c>
      <c r="N11" s="27">
        <f t="shared" si="10"/>
        <v>183.77856313529031</v>
      </c>
      <c r="O11" s="29" cm="1">
        <f t="array" ref="O11">TREND($D$33:$D$42,$F$33:$F$42,Q11)</f>
        <v>6851.9061693929998</v>
      </c>
      <c r="P11" s="37">
        <f t="shared" si="11"/>
        <v>37.283489719902235</v>
      </c>
      <c r="Q11" s="29">
        <f t="shared" si="13"/>
        <v>213897.25071658209</v>
      </c>
      <c r="R11" s="29">
        <f t="shared" si="12"/>
        <v>16848.310948494647</v>
      </c>
      <c r="S11" s="37">
        <f t="shared" si="5"/>
        <v>91.677237328771611</v>
      </c>
      <c r="T11" s="47">
        <f t="shared" si="6"/>
        <v>2.4589231860405372</v>
      </c>
      <c r="U11" s="27">
        <f t="shared" si="14"/>
        <v>31.217189119145647</v>
      </c>
      <c r="V11" s="27">
        <f t="shared" si="7"/>
        <v>12.695471455297021</v>
      </c>
      <c r="W11" s="64"/>
      <c r="X11" s="92"/>
      <c r="Y11" s="64"/>
      <c r="Z11" s="64"/>
      <c r="AA11" s="64"/>
    </row>
    <row r="12" spans="1:31" x14ac:dyDescent="0.35">
      <c r="A12" s="2">
        <v>1990</v>
      </c>
      <c r="B12" s="3">
        <v>207</v>
      </c>
      <c r="C12" s="28">
        <f t="shared" si="8"/>
        <v>-1.8957345971563955E-2</v>
      </c>
      <c r="D12" s="29">
        <f>VLOOKUP(A12,Raw_Data!$R$19:$S$57,2,FALSE)</f>
        <v>6658</v>
      </c>
      <c r="E12" s="29">
        <f t="shared" si="0"/>
        <v>32.164251207729471</v>
      </c>
      <c r="F12" s="3">
        <v>257757</v>
      </c>
      <c r="G12" s="3">
        <v>10006</v>
      </c>
      <c r="H12" s="3">
        <f t="shared" si="1"/>
        <v>48.338164251207729</v>
      </c>
      <c r="I12" s="48">
        <f t="shared" si="2"/>
        <v>1.5028537098227694</v>
      </c>
      <c r="J12" s="26">
        <f t="shared" si="3"/>
        <v>38.713878041453889</v>
      </c>
      <c r="K12" s="36">
        <f t="shared" si="4"/>
        <v>25.76024385368779</v>
      </c>
      <c r="M12" s="2">
        <f t="shared" si="9"/>
        <v>2026</v>
      </c>
      <c r="N12" s="27">
        <f t="shared" si="10"/>
        <v>184.54374133686397</v>
      </c>
      <c r="O12" s="29" cm="1">
        <f t="array" ref="O12">TREND($D$33:$D$42,$F$33:$F$42,Q12)</f>
        <v>6812.593740460301</v>
      </c>
      <c r="P12" s="37">
        <f t="shared" si="11"/>
        <v>36.915875288475227</v>
      </c>
      <c r="Q12" s="29">
        <f t="shared" si="13"/>
        <v>211619.1381479429</v>
      </c>
      <c r="R12" s="29">
        <f t="shared" si="12"/>
        <v>17091.782321959516</v>
      </c>
      <c r="S12" s="37">
        <f t="shared" si="5"/>
        <v>92.616429027307831</v>
      </c>
      <c r="T12" s="47">
        <f>S12/P12</f>
        <v>2.5088509564940957</v>
      </c>
      <c r="U12" s="27">
        <f t="shared" si="14"/>
        <v>31.062932300091123</v>
      </c>
      <c r="V12" s="27">
        <f t="shared" si="7"/>
        <v>12.381338245576337</v>
      </c>
      <c r="W12" s="64"/>
      <c r="X12" s="92"/>
      <c r="Y12" s="64"/>
      <c r="Z12" s="64"/>
      <c r="AA12" s="64"/>
    </row>
    <row r="13" spans="1:31" x14ac:dyDescent="0.35">
      <c r="A13" s="2">
        <v>1991</v>
      </c>
      <c r="B13" s="3">
        <v>201</v>
      </c>
      <c r="C13" s="28">
        <f t="shared" si="8"/>
        <v>-2.8985507246376829E-2</v>
      </c>
      <c r="D13" s="29">
        <f>VLOOKUP(A13,Raw_Data!$R$19:$S$57,2,FALSE)</f>
        <v>6551</v>
      </c>
      <c r="E13" s="29">
        <f t="shared" si="0"/>
        <v>32.592039800995025</v>
      </c>
      <c r="F13" s="3">
        <v>260109</v>
      </c>
      <c r="G13" s="3">
        <v>9843</v>
      </c>
      <c r="H13" s="3">
        <f t="shared" si="1"/>
        <v>48.970149253731343</v>
      </c>
      <c r="I13" s="48">
        <f t="shared" si="2"/>
        <v>1.5025186994352007</v>
      </c>
      <c r="J13" s="26">
        <f t="shared" si="3"/>
        <v>39.705235841856208</v>
      </c>
      <c r="K13" s="36">
        <f t="shared" si="4"/>
        <v>26.425784821700702</v>
      </c>
      <c r="M13" s="2">
        <f t="shared" si="9"/>
        <v>2027</v>
      </c>
      <c r="N13" s="27">
        <f t="shared" si="10"/>
        <v>185.31210542513833</v>
      </c>
      <c r="O13" s="29" cm="1">
        <f t="array" ref="O13">TREND($D$33:$D$42,$F$33:$F$42,Q13)</f>
        <v>6773.7000085335503</v>
      </c>
      <c r="P13" s="37">
        <f t="shared" si="11"/>
        <v>36.552927791703084</v>
      </c>
      <c r="Q13" s="29">
        <f t="shared" si="13"/>
        <v>209365.28861614969</v>
      </c>
      <c r="R13" s="29">
        <f t="shared" si="12"/>
        <v>17338.772048681163</v>
      </c>
      <c r="S13" s="37">
        <f t="shared" si="5"/>
        <v>93.565242318643953</v>
      </c>
      <c r="T13" s="47">
        <f>S13/P13</f>
        <v>2.5597195073353802</v>
      </c>
      <c r="U13" s="27">
        <f t="shared" si="14"/>
        <v>30.90855638017479</v>
      </c>
      <c r="V13" s="27">
        <f t="shared" si="7"/>
        <v>12.074977860503948</v>
      </c>
      <c r="W13" s="64"/>
      <c r="X13" s="92"/>
      <c r="Y13" s="64"/>
      <c r="Z13" s="64"/>
      <c r="AA13" s="64"/>
    </row>
    <row r="14" spans="1:31" x14ac:dyDescent="0.35">
      <c r="A14" s="2">
        <v>1992</v>
      </c>
      <c r="B14" s="3">
        <v>193</v>
      </c>
      <c r="C14" s="28">
        <f t="shared" si="8"/>
        <v>-3.9800995024875663E-2</v>
      </c>
      <c r="D14" s="29">
        <f>VLOOKUP(A14,Raw_Data!$R$19:$S$57,2,FALSE)</f>
        <v>6647</v>
      </c>
      <c r="E14" s="29">
        <f t="shared" si="0"/>
        <v>34.440414507772019</v>
      </c>
      <c r="F14" s="3">
        <v>262465</v>
      </c>
      <c r="G14" s="3">
        <v>10188</v>
      </c>
      <c r="H14" s="3">
        <f t="shared" si="1"/>
        <v>52.787564766839381</v>
      </c>
      <c r="I14" s="48">
        <f t="shared" si="2"/>
        <v>1.532721528509102</v>
      </c>
      <c r="J14" s="26">
        <f t="shared" si="3"/>
        <v>39.486234391454794</v>
      </c>
      <c r="K14" s="36">
        <f t="shared" si="4"/>
        <v>25.762171181782488</v>
      </c>
      <c r="M14" s="2">
        <f t="shared" si="9"/>
        <v>2028</v>
      </c>
      <c r="N14" s="27">
        <f t="shared" si="10"/>
        <v>186.08366866483269</v>
      </c>
      <c r="O14" s="29" cm="1">
        <f t="array" ref="O14">TREND($D$33:$D$42,$F$33:$F$42,Q14)</f>
        <v>6735.2205142804805</v>
      </c>
      <c r="P14" s="37">
        <f t="shared" si="11"/>
        <v>36.194581515972374</v>
      </c>
      <c r="Q14" s="29">
        <f t="shared" si="13"/>
        <v>207135.44370773991</v>
      </c>
      <c r="R14" s="29">
        <f t="shared" si="12"/>
        <v>17589.330971637402</v>
      </c>
      <c r="S14" s="37">
        <f t="shared" si="5"/>
        <v>94.523775771632501</v>
      </c>
      <c r="T14" s="47">
        <f t="shared" si="6"/>
        <v>2.6115449277931266</v>
      </c>
      <c r="U14" s="27">
        <f t="shared" si="14"/>
        <v>30.754070081084503</v>
      </c>
      <c r="V14" s="27">
        <f t="shared" si="7"/>
        <v>11.776197971471653</v>
      </c>
      <c r="W14" s="64"/>
      <c r="X14" s="92"/>
      <c r="Y14" s="64"/>
      <c r="Z14" s="64"/>
      <c r="AA14" s="64"/>
    </row>
    <row r="15" spans="1:31" x14ac:dyDescent="0.35">
      <c r="A15" s="2">
        <v>1993</v>
      </c>
      <c r="B15" s="3">
        <v>192</v>
      </c>
      <c r="C15" s="28">
        <f t="shared" si="8"/>
        <v>-5.1813471502590858E-3</v>
      </c>
      <c r="D15" s="29">
        <f>VLOOKUP(A15,Raw_Data!$R$19:$S$57,2,FALSE)</f>
        <v>7098</v>
      </c>
      <c r="E15" s="29">
        <f t="shared" si="0"/>
        <v>36.96875</v>
      </c>
      <c r="F15" s="3">
        <v>261402</v>
      </c>
      <c r="G15" s="3">
        <v>10711</v>
      </c>
      <c r="H15" s="3">
        <f t="shared" si="1"/>
        <v>55.786458333333336</v>
      </c>
      <c r="I15" s="48">
        <f t="shared" si="2"/>
        <v>1.50901662440124</v>
      </c>
      <c r="J15" s="26">
        <f t="shared" si="3"/>
        <v>36.827557058326292</v>
      </c>
      <c r="K15" s="36">
        <f t="shared" si="4"/>
        <v>24.405004201288396</v>
      </c>
      <c r="M15" s="2">
        <f t="shared" si="9"/>
        <v>2029</v>
      </c>
      <c r="N15" s="27">
        <f t="shared" si="10"/>
        <v>186.85844437589517</v>
      </c>
      <c r="O15" s="29" cm="1">
        <f t="array" ref="O15">TREND($D$33:$D$42,$F$33:$F$42,Q15)</f>
        <v>6697.1508458629414</v>
      </c>
      <c r="P15" s="37">
        <f t="shared" si="11"/>
        <v>35.840771704117202</v>
      </c>
      <c r="Q15" s="29">
        <f t="shared" si="13"/>
        <v>204929.34776148343</v>
      </c>
      <c r="R15" s="29">
        <f t="shared" si="12"/>
        <v>17843.510668527157</v>
      </c>
      <c r="S15" s="37">
        <f t="shared" si="5"/>
        <v>95.492128964919161</v>
      </c>
      <c r="T15" s="47">
        <f t="shared" si="6"/>
        <v>2.6643435513401492</v>
      </c>
      <c r="U15" s="27">
        <f t="shared" si="14"/>
        <v>30.59948214964805</v>
      </c>
      <c r="V15" s="27">
        <f t="shared" si="7"/>
        <v>11.484811008796779</v>
      </c>
      <c r="W15" s="64"/>
      <c r="X15" s="92"/>
      <c r="Y15" s="64"/>
      <c r="Z15" s="64"/>
      <c r="AA15" s="64"/>
    </row>
    <row r="16" spans="1:31" x14ac:dyDescent="0.35">
      <c r="A16" s="2">
        <v>1994</v>
      </c>
      <c r="B16" s="3">
        <v>193</v>
      </c>
      <c r="C16" s="28">
        <f t="shared" si="8"/>
        <v>5.2083333333332593E-3</v>
      </c>
      <c r="D16" s="29">
        <f>VLOOKUP(A16,Raw_Data!$R$19:$S$57,2,FALSE)</f>
        <v>6654</v>
      </c>
      <c r="E16" s="29">
        <f t="shared" si="0"/>
        <v>34.476683937823836</v>
      </c>
      <c r="F16" s="3">
        <v>251005</v>
      </c>
      <c r="G16" s="3">
        <v>10553</v>
      </c>
      <c r="H16" s="3">
        <f t="shared" si="1"/>
        <v>54.678756476683937</v>
      </c>
      <c r="I16" s="48">
        <f t="shared" si="2"/>
        <v>1.5859633303276224</v>
      </c>
      <c r="J16" s="26">
        <f t="shared" si="3"/>
        <v>37.722422602945599</v>
      </c>
      <c r="K16" s="36">
        <f t="shared" si="4"/>
        <v>23.785179569790586</v>
      </c>
      <c r="M16" s="2">
        <f t="shared" si="9"/>
        <v>2030</v>
      </c>
      <c r="N16" s="27">
        <f t="shared" si="10"/>
        <v>187.63644593373272</v>
      </c>
      <c r="O16" s="29" cm="1">
        <f t="array" ref="O16">TREND($D$33:$D$42,$F$33:$F$42,Q16)</f>
        <v>6659.4866384310653</v>
      </c>
      <c r="P16" s="37">
        <f t="shared" si="11"/>
        <v>35.491434541362963</v>
      </c>
      <c r="Q16" s="29">
        <f t="shared" si="13"/>
        <v>202746.74783906995</v>
      </c>
      <c r="R16" s="29">
        <f t="shared" si="12"/>
        <v>18101.363462387748</v>
      </c>
      <c r="S16" s="37">
        <f t="shared" si="5"/>
        <v>96.470402497287651</v>
      </c>
      <c r="T16" s="47">
        <f t="shared" si="6"/>
        <v>2.7181319589902082</v>
      </c>
      <c r="U16" s="27">
        <f t="shared" si="14"/>
        <v>30.44480135586485</v>
      </c>
      <c r="V16" s="27">
        <f t="shared" si="7"/>
        <v>11.200634043968623</v>
      </c>
      <c r="W16" s="64"/>
      <c r="X16" s="92"/>
      <c r="Y16" s="64"/>
      <c r="Z16" s="64"/>
      <c r="AA16" s="64"/>
    </row>
    <row r="17" spans="1:36" x14ac:dyDescent="0.35">
      <c r="A17" s="2">
        <v>1995</v>
      </c>
      <c r="B17" s="3">
        <v>198</v>
      </c>
      <c r="C17" s="28">
        <f t="shared" si="8"/>
        <v>2.5906735751295429E-2</v>
      </c>
      <c r="D17" s="29">
        <f>VLOOKUP(A17,Raw_Data!$R$19:$S$57,2,FALSE)</f>
        <v>6998</v>
      </c>
      <c r="E17" s="29">
        <f t="shared" si="0"/>
        <v>35.343434343434346</v>
      </c>
      <c r="F17" s="3">
        <v>261553</v>
      </c>
      <c r="G17" s="3">
        <v>10479</v>
      </c>
      <c r="H17" s="3">
        <f t="shared" si="1"/>
        <v>52.924242424242422</v>
      </c>
      <c r="I17" s="48">
        <f t="shared" si="2"/>
        <v>1.4974278365247211</v>
      </c>
      <c r="J17" s="26">
        <f t="shared" si="3"/>
        <v>37.375392969419835</v>
      </c>
      <c r="K17" s="36">
        <f t="shared" si="4"/>
        <v>24.959728981773075</v>
      </c>
    </row>
    <row r="18" spans="1:36" x14ac:dyDescent="0.35">
      <c r="A18" s="2">
        <v>1996</v>
      </c>
      <c r="B18" s="3">
        <v>197</v>
      </c>
      <c r="C18" s="28">
        <f t="shared" si="8"/>
        <v>-5.050505050505083E-3</v>
      </c>
      <c r="D18" s="29">
        <f>VLOOKUP(A18,Raw_Data!$R$19:$S$57,2,FALSE)</f>
        <v>7239</v>
      </c>
      <c r="E18" s="29">
        <f t="shared" si="0"/>
        <v>36.746192893401016</v>
      </c>
      <c r="F18" s="3">
        <v>269432</v>
      </c>
      <c r="G18" s="3">
        <v>10649</v>
      </c>
      <c r="H18" s="3">
        <f t="shared" si="1"/>
        <v>54.055837563451774</v>
      </c>
      <c r="I18" s="48">
        <f>H18/E18</f>
        <v>1.4710595386103051</v>
      </c>
      <c r="J18" s="26">
        <f t="shared" si="3"/>
        <v>37.219505456554771</v>
      </c>
      <c r="K18" s="36">
        <f t="shared" si="4"/>
        <v>25.301155038031741</v>
      </c>
      <c r="N18" s="39"/>
      <c r="O18" s="39"/>
      <c r="P18" s="34" t="s">
        <v>99</v>
      </c>
    </row>
    <row r="19" spans="1:36" x14ac:dyDescent="0.35">
      <c r="A19" s="2">
        <v>1997</v>
      </c>
      <c r="B19" s="3">
        <v>196</v>
      </c>
      <c r="C19" s="28">
        <f t="shared" si="8"/>
        <v>-5.0761421319797106E-3</v>
      </c>
      <c r="D19" s="29">
        <f>VLOOKUP(A19,Raw_Data!$R$19:$S$57,2,FALSE)</f>
        <v>7473</v>
      </c>
      <c r="E19" s="29">
        <f t="shared" si="0"/>
        <v>38.127551020408163</v>
      </c>
      <c r="F19" s="3">
        <v>280314</v>
      </c>
      <c r="G19" s="3">
        <v>10577</v>
      </c>
      <c r="H19" s="3">
        <f t="shared" si="1"/>
        <v>53.964285714285715</v>
      </c>
      <c r="I19" s="48">
        <f t="shared" si="2"/>
        <v>1.4153619697577948</v>
      </c>
      <c r="J19" s="26">
        <f t="shared" si="3"/>
        <v>37.510236852669614</v>
      </c>
      <c r="K19" s="36">
        <f t="shared" si="4"/>
        <v>26.502221802023257</v>
      </c>
      <c r="N19" s="58">
        <v>2.9</v>
      </c>
      <c r="O19" s="59">
        <v>27</v>
      </c>
      <c r="P19" s="60">
        <v>0.05</v>
      </c>
      <c r="AC19" s="22" t="s">
        <v>124</v>
      </c>
      <c r="AE19" s="113" t="s">
        <v>119</v>
      </c>
      <c r="AF19" s="113"/>
      <c r="AG19" s="113"/>
      <c r="AH19" s="113"/>
      <c r="AI19" s="113"/>
      <c r="AJ19" s="113"/>
    </row>
    <row r="20" spans="1:36" x14ac:dyDescent="0.35">
      <c r="A20" s="2">
        <v>1998</v>
      </c>
      <c r="B20" s="3">
        <v>193</v>
      </c>
      <c r="C20" s="28">
        <f t="shared" si="8"/>
        <v>-1.5306122448979553E-2</v>
      </c>
      <c r="D20" s="29">
        <f>VLOOKUP(A20,Raw_Data!$R$19:$S$57,2,FALSE)</f>
        <v>7684</v>
      </c>
      <c r="E20" s="29">
        <f t="shared" si="0"/>
        <v>39.813471502590673</v>
      </c>
      <c r="F20" s="3">
        <v>288228</v>
      </c>
      <c r="G20" s="3">
        <v>10968</v>
      </c>
      <c r="H20" s="3">
        <f t="shared" si="1"/>
        <v>56.829015544041454</v>
      </c>
      <c r="I20" s="48">
        <f t="shared" si="2"/>
        <v>1.4273815720978658</v>
      </c>
      <c r="J20" s="26">
        <f t="shared" si="3"/>
        <v>37.510150963040083</v>
      </c>
      <c r="K20" s="36">
        <f t="shared" si="4"/>
        <v>26.278993435448577</v>
      </c>
      <c r="N20" s="34" t="s">
        <v>112</v>
      </c>
      <c r="O20" s="34" t="s">
        <v>106</v>
      </c>
      <c r="P20" s="34" t="s">
        <v>148</v>
      </c>
      <c r="AD20" s="46">
        <f>AE7</f>
        <v>9.0534597341825229E-2</v>
      </c>
      <c r="AE20" s="43">
        <v>0.05</v>
      </c>
      <c r="AF20" s="43">
        <v>0.06</v>
      </c>
      <c r="AG20" s="43">
        <v>7.0000000000000007E-2</v>
      </c>
      <c r="AH20" s="43">
        <v>0.08</v>
      </c>
      <c r="AI20" s="43">
        <v>0.09</v>
      </c>
      <c r="AJ20" s="43">
        <v>0.1</v>
      </c>
    </row>
    <row r="21" spans="1:36" x14ac:dyDescent="0.35">
      <c r="A21" s="2">
        <v>1999</v>
      </c>
      <c r="B21" s="3">
        <v>199</v>
      </c>
      <c r="C21" s="28">
        <f t="shared" si="8"/>
        <v>3.1088082901554515E-2</v>
      </c>
      <c r="D21" s="29">
        <f>VLOOKUP(A21,Raw_Data!$R$19:$S$57,2,FALSE)</f>
        <v>8061</v>
      </c>
      <c r="E21" s="29">
        <f t="shared" si="0"/>
        <v>40.507537688442213</v>
      </c>
      <c r="F21" s="3">
        <v>299959</v>
      </c>
      <c r="G21" s="3">
        <v>11272</v>
      </c>
      <c r="H21" s="3">
        <f t="shared" si="1"/>
        <v>56.643216080402013</v>
      </c>
      <c r="I21" s="48">
        <f t="shared" si="2"/>
        <v>1.3983376752263987</v>
      </c>
      <c r="J21" s="26">
        <f t="shared" si="3"/>
        <v>37.211140057064881</v>
      </c>
      <c r="K21" s="36">
        <f t="shared" si="4"/>
        <v>26.610982966643011</v>
      </c>
      <c r="AC21" s="113" t="s">
        <v>118</v>
      </c>
      <c r="AD21" s="28">
        <v>0.01</v>
      </c>
      <c r="AE21" s="45">
        <f t="dataTable" ref="AE21:AJ27" dt2D="1" dtr="1" r1="AD7" r2="AC7"/>
        <v>6.0499999999999998E-2</v>
      </c>
      <c r="AF21" s="45">
        <v>7.0599999999999996E-2</v>
      </c>
      <c r="AG21" s="45">
        <v>8.0699999999999994E-2</v>
      </c>
      <c r="AH21" s="45">
        <v>9.0799999999999992E-2</v>
      </c>
      <c r="AI21" s="45">
        <v>0.10089999999999999</v>
      </c>
      <c r="AJ21" s="45">
        <v>0.11100000000000021</v>
      </c>
    </row>
    <row r="22" spans="1:36" x14ac:dyDescent="0.35">
      <c r="A22" s="2">
        <v>2000</v>
      </c>
      <c r="B22" s="3">
        <v>201</v>
      </c>
      <c r="C22" s="28">
        <f t="shared" si="8"/>
        <v>1.0050251256281451E-2</v>
      </c>
      <c r="D22" s="29">
        <f>VLOOKUP(A22,Raw_Data!$R$19:$S$57,2,FALSE)</f>
        <v>8196</v>
      </c>
      <c r="E22" s="29">
        <f t="shared" si="0"/>
        <v>40.776119402985074</v>
      </c>
      <c r="F22" s="3">
        <v>305705</v>
      </c>
      <c r="G22" s="3">
        <v>11923</v>
      </c>
      <c r="H22" s="3">
        <f t="shared" si="1"/>
        <v>59.318407960199004</v>
      </c>
      <c r="I22" s="48">
        <f t="shared" si="2"/>
        <v>1.4547340165934601</v>
      </c>
      <c r="J22" s="26">
        <f t="shared" si="3"/>
        <v>37.299292337725717</v>
      </c>
      <c r="K22" s="36">
        <f t="shared" si="4"/>
        <v>25.639939612513629</v>
      </c>
      <c r="M22" s="22" t="s">
        <v>127</v>
      </c>
      <c r="N22" s="114" t="s">
        <v>131</v>
      </c>
      <c r="O22" s="114"/>
      <c r="AC22" s="113"/>
      <c r="AD22" s="28">
        <v>1.0999999999999999E-2</v>
      </c>
      <c r="AE22" s="45">
        <v>6.1549999999999994E-2</v>
      </c>
      <c r="AF22" s="45">
        <v>7.1660000000000057E-2</v>
      </c>
      <c r="AG22" s="45">
        <v>8.1769999999999898E-2</v>
      </c>
      <c r="AH22" s="45">
        <v>9.1879999999999962E-2</v>
      </c>
      <c r="AI22" s="45">
        <v>0.10199000000000003</v>
      </c>
      <c r="AJ22" s="45">
        <v>0.11210000000000009</v>
      </c>
    </row>
    <row r="23" spans="1:36" ht="29" x14ac:dyDescent="0.35">
      <c r="A23" s="2">
        <v>2001</v>
      </c>
      <c r="B23" s="3">
        <v>197</v>
      </c>
      <c r="C23" s="28">
        <f t="shared" si="8"/>
        <v>-1.9900497512437831E-2</v>
      </c>
      <c r="D23" s="29">
        <f>VLOOKUP(A23,Raw_Data!$R$19:$S$57,2,FALSE)</f>
        <v>8088</v>
      </c>
      <c r="E23" s="29">
        <f t="shared" si="0"/>
        <v>41.055837563451774</v>
      </c>
      <c r="F23" s="3">
        <v>302566</v>
      </c>
      <c r="G23" s="3">
        <v>12065</v>
      </c>
      <c r="H23" s="3">
        <f t="shared" si="1"/>
        <v>61.243654822335024</v>
      </c>
      <c r="I23" s="48">
        <f t="shared" si="2"/>
        <v>1.4917161226508409</v>
      </c>
      <c r="J23" s="26">
        <f t="shared" si="3"/>
        <v>37.409248269040553</v>
      </c>
      <c r="K23" s="36">
        <f t="shared" si="4"/>
        <v>25.077994198093656</v>
      </c>
      <c r="M23" s="30" t="s">
        <v>53</v>
      </c>
      <c r="N23" s="30" t="s">
        <v>130</v>
      </c>
      <c r="O23" s="30" t="s">
        <v>106</v>
      </c>
      <c r="P23" s="30" t="s">
        <v>100</v>
      </c>
      <c r="Q23" s="30" t="s">
        <v>26</v>
      </c>
      <c r="R23" s="31" t="s">
        <v>104</v>
      </c>
      <c r="S23" s="31" t="s">
        <v>128</v>
      </c>
      <c r="T23" s="31" t="s">
        <v>107</v>
      </c>
      <c r="U23" s="61" t="s">
        <v>118</v>
      </c>
      <c r="V23" s="61" t="s">
        <v>122</v>
      </c>
      <c r="W23" s="62" t="s">
        <v>129</v>
      </c>
      <c r="AC23" s="113"/>
      <c r="AD23" s="28">
        <v>1.2E-2</v>
      </c>
      <c r="AE23" s="45">
        <v>6.2599999999999989E-2</v>
      </c>
      <c r="AF23" s="45">
        <v>7.2720000000000118E-2</v>
      </c>
      <c r="AG23" s="45">
        <v>8.2840000000000025E-2</v>
      </c>
      <c r="AH23" s="45">
        <v>9.2960000000000154E-2</v>
      </c>
      <c r="AI23" s="45">
        <v>0.10308000000000006</v>
      </c>
      <c r="AJ23" s="45">
        <v>0.11320000000000019</v>
      </c>
    </row>
    <row r="24" spans="1:36" x14ac:dyDescent="0.35">
      <c r="A24" s="2">
        <v>2002</v>
      </c>
      <c r="B24" s="3">
        <v>183</v>
      </c>
      <c r="C24" s="28">
        <f t="shared" si="8"/>
        <v>-7.1065989847715727E-2</v>
      </c>
      <c r="D24" s="29">
        <f>VLOOKUP(A24,Raw_Data!$R$19:$S$57,2,FALSE)</f>
        <v>8040</v>
      </c>
      <c r="E24" s="29">
        <f t="shared" si="0"/>
        <v>43.934426229508198</v>
      </c>
      <c r="F24" s="3">
        <v>302501</v>
      </c>
      <c r="G24" s="3">
        <v>12423</v>
      </c>
      <c r="H24" s="3">
        <f t="shared" si="1"/>
        <v>67.885245901639351</v>
      </c>
      <c r="I24" s="48">
        <f t="shared" si="2"/>
        <v>1.5451492537313434</v>
      </c>
      <c r="J24" s="26">
        <f t="shared" si="3"/>
        <v>37.624502487562189</v>
      </c>
      <c r="K24" s="36">
        <f t="shared" si="4"/>
        <v>24.35007647106174</v>
      </c>
      <c r="M24" s="2">
        <v>2021</v>
      </c>
      <c r="N24" s="24">
        <v>2.2999999999999998</v>
      </c>
      <c r="O24" s="24">
        <v>32</v>
      </c>
      <c r="P24" s="43">
        <v>0</v>
      </c>
      <c r="Q24" s="27">
        <f t="shared" ref="Q24:Q33" si="15">O24/(T24/R24)</f>
        <v>13.913043478260871</v>
      </c>
      <c r="R24" s="29">
        <f t="shared" ref="R24:R33" si="16">S24/O24</f>
        <v>6976.7999257851243</v>
      </c>
      <c r="S24" s="29">
        <f>Model!Q7</f>
        <v>223257.59762512398</v>
      </c>
      <c r="T24" s="29">
        <f t="shared" ref="T24:T33" si="17">R24*N24</f>
        <v>16046.639829305785</v>
      </c>
      <c r="U24" s="43">
        <f>T24/Model!G42-1</f>
        <v>2.3252125322394068E-2</v>
      </c>
      <c r="V24" s="28">
        <f>(1+U24)*(1+0)-1</f>
        <v>2.3252125322394068E-2</v>
      </c>
      <c r="W24" s="24" t="str">
        <f t="shared" ref="W24:W33" si="18">IF(V24&gt;P24,"No", "Yes")</f>
        <v>No</v>
      </c>
      <c r="AC24" s="113"/>
      <c r="AD24" s="28">
        <v>1.2999999999999999E-2</v>
      </c>
      <c r="AE24" s="45">
        <v>6.3649999999999984E-2</v>
      </c>
      <c r="AF24" s="45">
        <v>7.3779999999999957E-2</v>
      </c>
      <c r="AG24" s="45">
        <v>8.3909999999999929E-2</v>
      </c>
      <c r="AH24" s="45">
        <v>9.4039999999999901E-2</v>
      </c>
      <c r="AI24" s="45">
        <v>0.10416999999999987</v>
      </c>
      <c r="AJ24" s="45">
        <v>0.11430000000000007</v>
      </c>
    </row>
    <row r="25" spans="1:36" x14ac:dyDescent="0.35">
      <c r="A25" s="2">
        <v>2003</v>
      </c>
      <c r="B25" s="3">
        <v>178</v>
      </c>
      <c r="C25" s="28">
        <f t="shared" si="8"/>
        <v>-2.732240437158473E-2</v>
      </c>
      <c r="D25" s="29">
        <f>VLOOKUP(A25,Raw_Data!$R$19:$S$57,2,FALSE)</f>
        <v>7944</v>
      </c>
      <c r="E25" s="29">
        <f t="shared" si="0"/>
        <v>44.629213483146067</v>
      </c>
      <c r="F25" s="3">
        <v>299939</v>
      </c>
      <c r="G25" s="3">
        <v>12025</v>
      </c>
      <c r="H25" s="3">
        <f t="shared" si="1"/>
        <v>67.556179775280896</v>
      </c>
      <c r="I25" s="48">
        <f t="shared" si="2"/>
        <v>1.5137210473313192</v>
      </c>
      <c r="J25" s="26">
        <f t="shared" si="3"/>
        <v>37.75667170191339</v>
      </c>
      <c r="K25" s="36">
        <f t="shared" si="4"/>
        <v>24.942952182952183</v>
      </c>
      <c r="M25" s="2">
        <v>2022</v>
      </c>
      <c r="N25" s="24">
        <v>2.2999999999999998</v>
      </c>
      <c r="O25" s="24">
        <v>31</v>
      </c>
      <c r="P25" s="43">
        <v>0.1</v>
      </c>
      <c r="Q25" s="27">
        <f t="shared" si="15"/>
        <v>13.478260869565219</v>
      </c>
      <c r="R25" s="29">
        <f t="shared" si="16"/>
        <v>7125.1546027779559</v>
      </c>
      <c r="S25" s="29">
        <f>Model!Q8</f>
        <v>220879.79268611662</v>
      </c>
      <c r="T25" s="29">
        <f t="shared" si="17"/>
        <v>16387.855586389298</v>
      </c>
      <c r="U25" s="43">
        <f t="shared" ref="U25:U33" si="19">T25/T24-1</f>
        <v>2.1264000483163681E-2</v>
      </c>
      <c r="V25" s="28">
        <f>(1+U25)*(1+$P$19)-1</f>
        <v>7.2327200507321887E-2</v>
      </c>
      <c r="W25" s="24" t="str">
        <f t="shared" si="18"/>
        <v>Yes</v>
      </c>
      <c r="AC25" s="113"/>
      <c r="AD25" s="28">
        <v>1.4E-2</v>
      </c>
      <c r="AE25" s="45">
        <v>6.469999999999998E-2</v>
      </c>
      <c r="AF25" s="45">
        <v>7.4840000000000018E-2</v>
      </c>
      <c r="AG25" s="45">
        <v>8.4980000000000055E-2</v>
      </c>
      <c r="AH25" s="45">
        <v>9.5120000000000093E-2</v>
      </c>
      <c r="AI25" s="45">
        <v>0.10526000000000013</v>
      </c>
      <c r="AJ25" s="45">
        <v>0.11540000000000017</v>
      </c>
    </row>
    <row r="26" spans="1:36" x14ac:dyDescent="0.35">
      <c r="A26" s="2">
        <v>2004</v>
      </c>
      <c r="B26" s="3">
        <v>177</v>
      </c>
      <c r="C26" s="28">
        <f t="shared" si="8"/>
        <v>-5.6179775280899014E-3</v>
      </c>
      <c r="D26" s="29">
        <f>VLOOKUP(A26,Raw_Data!$R$19:$S$57,2,FALSE)</f>
        <v>7873</v>
      </c>
      <c r="E26" s="29">
        <f t="shared" si="0"/>
        <v>44.480225988700568</v>
      </c>
      <c r="F26" s="3">
        <v>296419</v>
      </c>
      <c r="G26" s="3">
        <v>12209</v>
      </c>
      <c r="H26" s="3">
        <f t="shared" si="1"/>
        <v>68.977401129943502</v>
      </c>
      <c r="I26" s="48">
        <f t="shared" si="2"/>
        <v>1.550743045852915</v>
      </c>
      <c r="J26" s="26">
        <f t="shared" si="3"/>
        <v>37.650069859011815</v>
      </c>
      <c r="K26" s="36">
        <f t="shared" si="4"/>
        <v>24.278728806618069</v>
      </c>
      <c r="M26" s="2">
        <v>2023</v>
      </c>
      <c r="N26" s="24">
        <v>2.4</v>
      </c>
      <c r="O26" s="24">
        <v>31</v>
      </c>
      <c r="P26" s="43">
        <f t="shared" ref="P26:P33" si="20">P25</f>
        <v>0.1</v>
      </c>
      <c r="Q26" s="27">
        <f t="shared" si="15"/>
        <v>12.916666666666668</v>
      </c>
      <c r="R26" s="29">
        <f t="shared" si="16"/>
        <v>7049.2681470161024</v>
      </c>
      <c r="S26" s="29">
        <f>Model!Q9</f>
        <v>218527.31255749919</v>
      </c>
      <c r="T26" s="29">
        <f t="shared" si="17"/>
        <v>16918.243552838645</v>
      </c>
      <c r="U26" s="43">
        <f t="shared" si="19"/>
        <v>3.2364696140589233E-2</v>
      </c>
      <c r="V26" s="28">
        <f t="shared" ref="V26:V33" si="21">(1+U26)*(1+$P$19)-1</f>
        <v>8.3982930947618772E-2</v>
      </c>
      <c r="W26" s="24" t="str">
        <f t="shared" si="18"/>
        <v>Yes</v>
      </c>
      <c r="AC26" s="113"/>
      <c r="AD26" s="28">
        <v>1.4999999999999999E-2</v>
      </c>
      <c r="AE26" s="45">
        <v>6.5749999999999975E-2</v>
      </c>
      <c r="AF26" s="45">
        <v>7.5899999999999856E-2</v>
      </c>
      <c r="AG26" s="45">
        <v>8.604999999999996E-2</v>
      </c>
      <c r="AH26" s="45">
        <v>9.6200000000000063E-2</v>
      </c>
      <c r="AI26" s="45">
        <v>0.10634999999999994</v>
      </c>
      <c r="AJ26" s="45">
        <v>0.11650000000000005</v>
      </c>
    </row>
    <row r="27" spans="1:36" x14ac:dyDescent="0.35">
      <c r="A27" s="2">
        <v>2005</v>
      </c>
      <c r="B27" s="3">
        <v>173</v>
      </c>
      <c r="C27" s="28">
        <f t="shared" si="8"/>
        <v>-2.2598870056497189E-2</v>
      </c>
      <c r="D27" s="29">
        <f>VLOOKUP(A27,Raw_Data!$R$19:$S$57,2,FALSE)</f>
        <v>8036</v>
      </c>
      <c r="E27" s="29">
        <f t="shared" si="0"/>
        <v>46.450867052023121</v>
      </c>
      <c r="F27" s="3">
        <v>282793</v>
      </c>
      <c r="G27" s="3">
        <v>12022</v>
      </c>
      <c r="H27" s="3">
        <f t="shared" si="1"/>
        <v>69.49132947976878</v>
      </c>
      <c r="I27" s="48">
        <f t="shared" si="2"/>
        <v>1.4960179193628669</v>
      </c>
      <c r="J27" s="26">
        <f t="shared" si="3"/>
        <v>35.190766550522646</v>
      </c>
      <c r="K27" s="36">
        <f t="shared" si="4"/>
        <v>23.522957910497425</v>
      </c>
      <c r="M27" s="2">
        <v>2024</v>
      </c>
      <c r="N27" s="24">
        <v>2.4</v>
      </c>
      <c r="O27" s="24">
        <v>30</v>
      </c>
      <c r="P27" s="43">
        <f t="shared" si="20"/>
        <v>0.1</v>
      </c>
      <c r="Q27" s="27">
        <f t="shared" si="15"/>
        <v>12.5</v>
      </c>
      <c r="R27" s="29">
        <f t="shared" si="16"/>
        <v>7206.662917246349</v>
      </c>
      <c r="S27" s="29">
        <f>Model!Q10</f>
        <v>216199.88751739048</v>
      </c>
      <c r="T27" s="29">
        <f t="shared" si="17"/>
        <v>17295.991001391238</v>
      </c>
      <c r="U27" s="43">
        <f t="shared" si="19"/>
        <v>2.2327817150333606E-2</v>
      </c>
      <c r="V27" s="28">
        <f t="shared" si="21"/>
        <v>7.3444208007850342E-2</v>
      </c>
      <c r="W27" s="24" t="str">
        <f t="shared" si="18"/>
        <v>Yes</v>
      </c>
      <c r="AC27" s="113"/>
      <c r="AD27" s="28">
        <v>1.6E-2</v>
      </c>
      <c r="AE27" s="45">
        <v>6.6799999999999971E-2</v>
      </c>
      <c r="AF27" s="45">
        <v>7.6960000000000139E-2</v>
      </c>
      <c r="AG27" s="45">
        <v>8.7120000000000086E-2</v>
      </c>
      <c r="AH27" s="45">
        <v>9.7280000000000033E-2</v>
      </c>
      <c r="AI27" s="45">
        <v>0.1074400000000002</v>
      </c>
      <c r="AJ27" s="45">
        <v>0.11760000000000015</v>
      </c>
    </row>
    <row r="28" spans="1:36" x14ac:dyDescent="0.35">
      <c r="A28" s="2">
        <v>2006</v>
      </c>
      <c r="B28" s="3">
        <v>172</v>
      </c>
      <c r="C28" s="28">
        <f t="shared" si="8"/>
        <v>-5.7803468208093012E-3</v>
      </c>
      <c r="D28" s="29">
        <f>VLOOKUP(A28,Raw_Data!$R$19:$S$57,2,FALSE)</f>
        <v>8235</v>
      </c>
      <c r="E28" s="29">
        <f t="shared" si="0"/>
        <v>47.877906976744185</v>
      </c>
      <c r="F28" s="3">
        <v>277291</v>
      </c>
      <c r="G28" s="3">
        <v>12268</v>
      </c>
      <c r="H28" s="3">
        <f t="shared" si="1"/>
        <v>71.325581395348834</v>
      </c>
      <c r="I28" s="48">
        <f t="shared" si="2"/>
        <v>1.489738919247116</v>
      </c>
      <c r="J28" s="26">
        <f t="shared" si="3"/>
        <v>33.672252580449303</v>
      </c>
      <c r="K28" s="36">
        <f t="shared" si="4"/>
        <v>22.602787740462993</v>
      </c>
      <c r="M28" s="2">
        <v>2025</v>
      </c>
      <c r="N28" s="24">
        <v>2.5</v>
      </c>
      <c r="O28" s="24">
        <v>30</v>
      </c>
      <c r="P28" s="43">
        <f t="shared" si="20"/>
        <v>0.1</v>
      </c>
      <c r="Q28" s="27">
        <f t="shared" si="15"/>
        <v>11.999999999999998</v>
      </c>
      <c r="R28" s="29">
        <f t="shared" si="16"/>
        <v>7129.9083572194031</v>
      </c>
      <c r="S28" s="29">
        <f>Model!Q11</f>
        <v>213897.25071658209</v>
      </c>
      <c r="T28" s="29">
        <f t="shared" si="17"/>
        <v>17824.77089304851</v>
      </c>
      <c r="U28" s="43">
        <f t="shared" si="19"/>
        <v>3.057239632090103E-2</v>
      </c>
      <c r="V28" s="28">
        <f t="shared" si="21"/>
        <v>8.2101016136946203E-2</v>
      </c>
      <c r="W28" s="24" t="str">
        <f t="shared" si="18"/>
        <v>Yes</v>
      </c>
    </row>
    <row r="29" spans="1:36" x14ac:dyDescent="0.35">
      <c r="A29" s="2">
        <v>2007</v>
      </c>
      <c r="B29" s="3">
        <v>170</v>
      </c>
      <c r="C29" s="28">
        <f t="shared" si="8"/>
        <v>-1.1627906976744207E-2</v>
      </c>
      <c r="D29" s="29">
        <f>VLOOKUP(A29,Raw_Data!$R$19:$S$57,2,FALSE)</f>
        <v>8247</v>
      </c>
      <c r="E29" s="29">
        <f t="shared" si="0"/>
        <v>48.511764705882356</v>
      </c>
      <c r="F29" s="3">
        <v>277772</v>
      </c>
      <c r="G29" s="3">
        <v>12472</v>
      </c>
      <c r="H29" s="3">
        <f t="shared" si="1"/>
        <v>73.364705882352936</v>
      </c>
      <c r="I29" s="48">
        <f t="shared" si="2"/>
        <v>1.51230750575967</v>
      </c>
      <c r="J29" s="26">
        <f t="shared" si="3"/>
        <v>33.681581181035526</v>
      </c>
      <c r="K29" s="36">
        <f t="shared" si="4"/>
        <v>22.271648492623477</v>
      </c>
      <c r="M29" s="2">
        <v>2026</v>
      </c>
      <c r="N29" s="24">
        <v>2.6</v>
      </c>
      <c r="O29" s="24">
        <v>30</v>
      </c>
      <c r="P29" s="43">
        <f t="shared" si="20"/>
        <v>0.1</v>
      </c>
      <c r="Q29" s="27">
        <f t="shared" si="15"/>
        <v>11.538461538461538</v>
      </c>
      <c r="R29" s="29">
        <f t="shared" si="16"/>
        <v>7053.9712715980968</v>
      </c>
      <c r="S29" s="29">
        <f>Model!Q12</f>
        <v>211619.1381479429</v>
      </c>
      <c r="T29" s="29">
        <f t="shared" si="17"/>
        <v>18340.325306155053</v>
      </c>
      <c r="U29" s="43">
        <f t="shared" si="19"/>
        <v>2.8923480486787279E-2</v>
      </c>
      <c r="V29" s="28">
        <f t="shared" si="21"/>
        <v>8.0369654511126765E-2</v>
      </c>
      <c r="W29" s="24" t="str">
        <f t="shared" si="18"/>
        <v>Yes</v>
      </c>
    </row>
    <row r="30" spans="1:36" x14ac:dyDescent="0.35">
      <c r="A30" s="2">
        <v>2008</v>
      </c>
      <c r="B30" s="3">
        <v>174</v>
      </c>
      <c r="C30" s="28">
        <f t="shared" si="8"/>
        <v>2.3529411764705799E-2</v>
      </c>
      <c r="D30" s="29">
        <f>VLOOKUP(A30,Raw_Data!$R$19:$S$57,2,FALSE)</f>
        <v>8097</v>
      </c>
      <c r="E30" s="29">
        <f t="shared" si="0"/>
        <v>46.53448275862069</v>
      </c>
      <c r="F30" s="3">
        <v>272097</v>
      </c>
      <c r="G30" s="3">
        <v>12723</v>
      </c>
      <c r="H30" s="3">
        <f t="shared" si="1"/>
        <v>73.120689655172413</v>
      </c>
      <c r="I30" s="48">
        <f t="shared" si="2"/>
        <v>1.5713227121155984</v>
      </c>
      <c r="J30" s="26">
        <f t="shared" si="3"/>
        <v>33.604668395702113</v>
      </c>
      <c r="K30" s="36">
        <f t="shared" si="4"/>
        <v>21.386229662815374</v>
      </c>
      <c r="M30" s="2">
        <v>2027</v>
      </c>
      <c r="N30" s="24">
        <v>2.7</v>
      </c>
      <c r="O30" s="24">
        <v>30</v>
      </c>
      <c r="P30" s="43">
        <f t="shared" si="20"/>
        <v>0.1</v>
      </c>
      <c r="Q30" s="27">
        <f t="shared" si="15"/>
        <v>11.111111111111111</v>
      </c>
      <c r="R30" s="29">
        <f t="shared" si="16"/>
        <v>6978.8429538716564</v>
      </c>
      <c r="S30" s="29">
        <f>Model!Q13</f>
        <v>209365.28861614969</v>
      </c>
      <c r="T30" s="29">
        <f t="shared" si="17"/>
        <v>18842.875975453473</v>
      </c>
      <c r="U30" s="43">
        <f t="shared" si="19"/>
        <v>2.7401404332221047E-2</v>
      </c>
      <c r="V30" s="28">
        <f t="shared" si="21"/>
        <v>7.8771474548832154E-2</v>
      </c>
      <c r="W30" s="24" t="str">
        <f t="shared" si="18"/>
        <v>Yes</v>
      </c>
      <c r="AC30" s="22" t="s">
        <v>123</v>
      </c>
      <c r="AE30" s="24" t="s">
        <v>26</v>
      </c>
      <c r="AF30" s="24"/>
    </row>
    <row r="31" spans="1:36" x14ac:dyDescent="0.35">
      <c r="A31" s="2">
        <v>2009</v>
      </c>
      <c r="B31" s="3">
        <v>172</v>
      </c>
      <c r="C31" s="28">
        <f t="shared" si="8"/>
        <v>-1.1494252873563204E-2</v>
      </c>
      <c r="D31" s="29">
        <f>VLOOKUP(A31,Raw_Data!$R$19:$S$57,2,FALSE)</f>
        <v>7906</v>
      </c>
      <c r="E31" s="29">
        <f t="shared" si="0"/>
        <v>45.965116279069768</v>
      </c>
      <c r="F31" s="3">
        <v>265104</v>
      </c>
      <c r="G31" s="3">
        <v>13493</v>
      </c>
      <c r="H31" s="3">
        <f t="shared" si="1"/>
        <v>78.447674418604649</v>
      </c>
      <c r="I31" s="48">
        <f t="shared" si="2"/>
        <v>1.7066784720465469</v>
      </c>
      <c r="J31" s="26">
        <f t="shared" si="3"/>
        <v>33.532001011889705</v>
      </c>
      <c r="K31" s="36">
        <f t="shared" si="4"/>
        <v>19.647520936782037</v>
      </c>
      <c r="M31" s="2">
        <v>2028</v>
      </c>
      <c r="N31" s="24">
        <v>2.7</v>
      </c>
      <c r="O31" s="24">
        <v>29</v>
      </c>
      <c r="P31" s="43">
        <f t="shared" si="20"/>
        <v>0.1</v>
      </c>
      <c r="Q31" s="27">
        <f t="shared" si="15"/>
        <v>10.74074074074074</v>
      </c>
      <c r="R31" s="29">
        <f t="shared" si="16"/>
        <v>7142.6015071634447</v>
      </c>
      <c r="S31" s="29">
        <f>Model!Q14</f>
        <v>207135.44370773991</v>
      </c>
      <c r="T31" s="29">
        <f t="shared" si="17"/>
        <v>19285.024069341303</v>
      </c>
      <c r="U31" s="43">
        <f t="shared" si="19"/>
        <v>2.3465000484204968E-2</v>
      </c>
      <c r="V31" s="28">
        <f t="shared" si="21"/>
        <v>7.4638250508415327E-2</v>
      </c>
      <c r="W31" s="24" t="str">
        <f t="shared" si="18"/>
        <v>Yes</v>
      </c>
      <c r="AC31" t="s">
        <v>126</v>
      </c>
      <c r="AE31" s="24" t="s">
        <v>125</v>
      </c>
      <c r="AF31" s="24" t="s">
        <v>125</v>
      </c>
    </row>
    <row r="32" spans="1:36" x14ac:dyDescent="0.35">
      <c r="A32" s="2">
        <v>2010</v>
      </c>
      <c r="B32" s="3">
        <v>173</v>
      </c>
      <c r="C32" s="28">
        <f t="shared" si="8"/>
        <v>5.8139534883721034E-3</v>
      </c>
      <c r="D32" s="29">
        <f>VLOOKUP(A32,Raw_Data!$R$19:$S$57,2,FALSE)</f>
        <v>7692</v>
      </c>
      <c r="E32" s="29">
        <f t="shared" si="0"/>
        <v>44.462427745664741</v>
      </c>
      <c r="F32" s="3">
        <v>256801</v>
      </c>
      <c r="G32" s="3">
        <v>13318</v>
      </c>
      <c r="H32" s="3">
        <f t="shared" si="1"/>
        <v>76.982658959537574</v>
      </c>
      <c r="I32" s="48">
        <f t="shared" si="2"/>
        <v>1.7314092563702548</v>
      </c>
      <c r="J32" s="26">
        <f t="shared" si="3"/>
        <v>33.385465418616747</v>
      </c>
      <c r="K32" s="36">
        <f t="shared" si="4"/>
        <v>19.282249587025081</v>
      </c>
      <c r="M32" s="2">
        <v>2029</v>
      </c>
      <c r="N32" s="24">
        <v>2.8</v>
      </c>
      <c r="O32" s="24">
        <v>28</v>
      </c>
      <c r="P32" s="43">
        <f t="shared" si="20"/>
        <v>0.1</v>
      </c>
      <c r="Q32" s="27">
        <f t="shared" si="15"/>
        <v>10</v>
      </c>
      <c r="R32" s="29">
        <f t="shared" si="16"/>
        <v>7318.9052771958368</v>
      </c>
      <c r="S32" s="29">
        <f>Model!Q15</f>
        <v>204929.34776148343</v>
      </c>
      <c r="T32" s="29">
        <f t="shared" si="17"/>
        <v>20492.93477614834</v>
      </c>
      <c r="U32" s="43">
        <f t="shared" si="19"/>
        <v>6.2634648650884195E-2</v>
      </c>
      <c r="V32" s="28">
        <f t="shared" si="21"/>
        <v>0.1157663810834284</v>
      </c>
      <c r="W32" s="24" t="str">
        <f t="shared" si="18"/>
        <v>No</v>
      </c>
      <c r="AC32" s="24" t="s">
        <v>106</v>
      </c>
      <c r="AD32" s="24" t="s">
        <v>125</v>
      </c>
      <c r="AE32" s="24"/>
      <c r="AF32" s="24"/>
    </row>
    <row r="33" spans="1:32" x14ac:dyDescent="0.35">
      <c r="A33" s="2">
        <v>2011</v>
      </c>
      <c r="B33" s="38">
        <v>174</v>
      </c>
      <c r="C33" s="54">
        <f t="shared" si="8"/>
        <v>5.7803468208093012E-3</v>
      </c>
      <c r="D33" s="55">
        <f>VLOOKUP(A33,Raw_Data!$R$19:$S$57,2,FALSE)</f>
        <v>7522</v>
      </c>
      <c r="E33" s="55">
        <f t="shared" si="0"/>
        <v>43.229885057471265</v>
      </c>
      <c r="F33" s="38">
        <v>251165</v>
      </c>
      <c r="G33" s="38">
        <v>13586</v>
      </c>
      <c r="H33" s="38">
        <f t="shared" si="1"/>
        <v>78.080459770114942</v>
      </c>
      <c r="I33" s="56">
        <f t="shared" si="2"/>
        <v>1.8061685721882479</v>
      </c>
      <c r="J33" s="38">
        <f t="shared" si="3"/>
        <v>33.390720553044403</v>
      </c>
      <c r="K33" s="57">
        <f t="shared" si="4"/>
        <v>18.487045488002355</v>
      </c>
      <c r="M33" s="2">
        <v>2030</v>
      </c>
      <c r="N33" s="65">
        <v>2.9</v>
      </c>
      <c r="O33" s="66">
        <v>27</v>
      </c>
      <c r="P33" s="43">
        <f t="shared" si="20"/>
        <v>0.1</v>
      </c>
      <c r="Q33" s="27">
        <f t="shared" si="15"/>
        <v>9.3103448275862064</v>
      </c>
      <c r="R33" s="29">
        <f t="shared" si="16"/>
        <v>7509.1388088544427</v>
      </c>
      <c r="S33" s="29">
        <f>Model!Q16</f>
        <v>202746.74783906995</v>
      </c>
      <c r="T33" s="29">
        <f t="shared" si="17"/>
        <v>21776.502545677882</v>
      </c>
      <c r="U33" s="43">
        <f t="shared" si="19"/>
        <v>6.2634648650884417E-2</v>
      </c>
      <c r="V33" s="28">
        <f t="shared" si="21"/>
        <v>0.11576638108342863</v>
      </c>
      <c r="W33" s="24" t="str">
        <f t="shared" si="18"/>
        <v>No</v>
      </c>
      <c r="AC33" s="24"/>
      <c r="AD33" s="24" t="s">
        <v>125</v>
      </c>
      <c r="AE33" s="24"/>
      <c r="AF33" s="24"/>
    </row>
    <row r="34" spans="1:32" x14ac:dyDescent="0.35">
      <c r="A34" s="2">
        <v>2012</v>
      </c>
      <c r="B34" s="38">
        <v>175</v>
      </c>
      <c r="C34" s="54">
        <f t="shared" si="8"/>
        <v>5.7471264367816577E-3</v>
      </c>
      <c r="D34" s="55">
        <f>VLOOKUP(A34,Raw_Data!$R$19:$S$57,2,FALSE)</f>
        <v>7377</v>
      </c>
      <c r="E34" s="55">
        <f t="shared" si="0"/>
        <v>42.154285714285713</v>
      </c>
      <c r="F34" s="38">
        <v>245560</v>
      </c>
      <c r="G34" s="38">
        <v>13979</v>
      </c>
      <c r="H34" s="38">
        <f t="shared" si="1"/>
        <v>79.88</v>
      </c>
      <c r="I34" s="56">
        <f t="shared" si="2"/>
        <v>1.8949437440694048</v>
      </c>
      <c r="J34" s="38">
        <f t="shared" si="3"/>
        <v>33.287244137183137</v>
      </c>
      <c r="K34" s="57">
        <f t="shared" si="4"/>
        <v>17.56634952428643</v>
      </c>
    </row>
    <row r="35" spans="1:32" x14ac:dyDescent="0.35">
      <c r="A35" s="2">
        <v>2013</v>
      </c>
      <c r="B35" s="38">
        <v>182</v>
      </c>
      <c r="C35" s="54">
        <f t="shared" si="8"/>
        <v>4.0000000000000036E-2</v>
      </c>
      <c r="D35" s="55">
        <f>VLOOKUP(A35,Raw_Data!$R$19:$S$57,2,FALSE)</f>
        <v>7242</v>
      </c>
      <c r="E35" s="55">
        <f t="shared" si="0"/>
        <v>39.791208791208788</v>
      </c>
      <c r="F35" s="38">
        <v>236862</v>
      </c>
      <c r="G35" s="38">
        <v>14442</v>
      </c>
      <c r="H35" s="38">
        <f t="shared" si="1"/>
        <v>79.35164835164835</v>
      </c>
      <c r="I35" s="56">
        <f t="shared" si="2"/>
        <v>1.9942004971002487</v>
      </c>
      <c r="J35" s="38">
        <f t="shared" si="3"/>
        <v>32.706710853355425</v>
      </c>
      <c r="K35" s="57">
        <f t="shared" si="4"/>
        <v>16.400914000830909</v>
      </c>
    </row>
    <row r="36" spans="1:32" x14ac:dyDescent="0.35">
      <c r="A36" s="2">
        <v>2014</v>
      </c>
      <c r="B36" s="38">
        <v>185</v>
      </c>
      <c r="C36" s="54">
        <f t="shared" si="8"/>
        <v>1.6483516483516425E-2</v>
      </c>
      <c r="D36" s="55">
        <f>VLOOKUP(A36,Raw_Data!$R$19:$S$57,2,FALSE)</f>
        <v>7196</v>
      </c>
      <c r="E36" s="55">
        <f t="shared" si="0"/>
        <v>38.8972972972973</v>
      </c>
      <c r="F36" s="38">
        <v>234499</v>
      </c>
      <c r="G36" s="38">
        <v>14343</v>
      </c>
      <c r="H36" s="38">
        <f t="shared" si="1"/>
        <v>77.529729729729723</v>
      </c>
      <c r="I36" s="56">
        <f t="shared" si="2"/>
        <v>1.993190661478599</v>
      </c>
      <c r="J36" s="38">
        <f t="shared" si="3"/>
        <v>32.587409672040025</v>
      </c>
      <c r="K36" s="57">
        <f t="shared" si="4"/>
        <v>16.349369030188946</v>
      </c>
    </row>
    <row r="37" spans="1:32" x14ac:dyDescent="0.35">
      <c r="A37" s="2">
        <v>2015</v>
      </c>
      <c r="B37" s="38">
        <v>182</v>
      </c>
      <c r="C37" s="54">
        <f t="shared" si="8"/>
        <v>-1.6216216216216162E-2</v>
      </c>
      <c r="D37" s="55">
        <f>VLOOKUP(A37,Raw_Data!$R$19:$S$57,2,FALSE)</f>
        <v>7141</v>
      </c>
      <c r="E37" s="55">
        <f t="shared" si="0"/>
        <v>39.236263736263737</v>
      </c>
      <c r="F37" s="38">
        <v>231933</v>
      </c>
      <c r="G37" s="38">
        <v>14566</v>
      </c>
      <c r="H37" s="38">
        <f t="shared" si="1"/>
        <v>80.032967032967036</v>
      </c>
      <c r="I37" s="56">
        <f t="shared" si="2"/>
        <v>2.039770340288475</v>
      </c>
      <c r="J37" s="38">
        <f t="shared" si="3"/>
        <v>32.479064556784763</v>
      </c>
      <c r="K37" s="57">
        <f t="shared" si="4"/>
        <v>15.922902650006865</v>
      </c>
    </row>
    <row r="38" spans="1:32" x14ac:dyDescent="0.35">
      <c r="A38" s="2">
        <v>2016</v>
      </c>
      <c r="B38" s="38">
        <v>185</v>
      </c>
      <c r="C38" s="54">
        <f t="shared" si="8"/>
        <v>1.6483516483516425E-2</v>
      </c>
      <c r="D38" s="55">
        <f>VLOOKUP(A38,Raw_Data!$R$19:$S$57,2,FALSE)</f>
        <v>7143</v>
      </c>
      <c r="E38" s="55">
        <f t="shared" si="0"/>
        <v>38.610810810810811</v>
      </c>
      <c r="F38" s="38">
        <v>230989</v>
      </c>
      <c r="G38" s="38">
        <v>14997</v>
      </c>
      <c r="H38" s="38">
        <f t="shared" si="1"/>
        <v>81.064864864864859</v>
      </c>
      <c r="I38" s="56">
        <f t="shared" si="2"/>
        <v>2.099538009239815</v>
      </c>
      <c r="J38" s="38">
        <f t="shared" si="3"/>
        <v>32.337813243735127</v>
      </c>
      <c r="K38" s="57">
        <f t="shared" si="4"/>
        <v>15.402347136093887</v>
      </c>
    </row>
    <row r="39" spans="1:32" x14ac:dyDescent="0.35">
      <c r="A39" s="2">
        <v>2017</v>
      </c>
      <c r="B39" s="38">
        <v>185</v>
      </c>
      <c r="C39" s="54">
        <f t="shared" si="8"/>
        <v>0</v>
      </c>
      <c r="D39" s="55">
        <f>VLOOKUP(A39,Raw_Data!$R$19:$S$57,2,FALSE)</f>
        <v>7105</v>
      </c>
      <c r="E39" s="55">
        <f t="shared" si="0"/>
        <v>38.405405405405403</v>
      </c>
      <c r="F39" s="38">
        <v>228670</v>
      </c>
      <c r="G39" s="38">
        <v>15183</v>
      </c>
      <c r="H39" s="38">
        <f t="shared" si="1"/>
        <v>82.070270270270271</v>
      </c>
      <c r="I39" s="56">
        <f t="shared" si="2"/>
        <v>2.1369458128078818</v>
      </c>
      <c r="J39" s="38">
        <f t="shared" si="3"/>
        <v>32.184377199155527</v>
      </c>
      <c r="K39" s="57">
        <f t="shared" si="4"/>
        <v>15.060923401172365</v>
      </c>
    </row>
    <row r="40" spans="1:32" x14ac:dyDescent="0.35">
      <c r="A40" s="2">
        <v>2018</v>
      </c>
      <c r="B40" s="38">
        <v>186</v>
      </c>
      <c r="C40" s="54">
        <f t="shared" si="8"/>
        <v>5.4054054054053502E-3</v>
      </c>
      <c r="D40" s="55">
        <f>VLOOKUP(A40,Raw_Data!$R$19:$S$57,2,FALSE)</f>
        <v>7089</v>
      </c>
      <c r="E40" s="55">
        <f t="shared" si="0"/>
        <v>38.112903225806448</v>
      </c>
      <c r="F40" s="38">
        <v>227406</v>
      </c>
      <c r="G40" s="38">
        <v>15364</v>
      </c>
      <c r="H40" s="38">
        <f t="shared" si="1"/>
        <v>82.602150537634415</v>
      </c>
      <c r="I40" s="56">
        <f t="shared" si="2"/>
        <v>2.1673014529552832</v>
      </c>
      <c r="J40" s="38">
        <f t="shared" si="3"/>
        <v>32.078713499788407</v>
      </c>
      <c r="K40" s="57">
        <f t="shared" si="4"/>
        <v>14.801223639677167</v>
      </c>
    </row>
    <row r="41" spans="1:32" x14ac:dyDescent="0.35">
      <c r="A41" s="2">
        <v>2019</v>
      </c>
      <c r="B41" s="38">
        <v>179</v>
      </c>
      <c r="C41" s="54">
        <f t="shared" si="8"/>
        <v>-3.7634408602150504E-2</v>
      </c>
      <c r="D41" s="55">
        <f>VLOOKUP(A41,Raw_Data!$R$19:$S$57,2,FALSE)</f>
        <v>7123</v>
      </c>
      <c r="E41" s="55">
        <f t="shared" si="0"/>
        <v>39.793296089385478</v>
      </c>
      <c r="F41" s="38">
        <v>228060</v>
      </c>
      <c r="G41" s="38">
        <v>15436</v>
      </c>
      <c r="H41" s="38">
        <f t="shared" si="1"/>
        <v>86.234636871508386</v>
      </c>
      <c r="I41" s="56">
        <f t="shared" si="2"/>
        <v>2.1670644391408116</v>
      </c>
      <c r="J41" s="38">
        <f t="shared" si="3"/>
        <v>32.017408395339039</v>
      </c>
      <c r="K41" s="57">
        <f t="shared" si="4"/>
        <v>14.774552993003367</v>
      </c>
    </row>
    <row r="42" spans="1:32" x14ac:dyDescent="0.35">
      <c r="A42" s="2">
        <v>2020</v>
      </c>
      <c r="B42" s="38">
        <v>180</v>
      </c>
      <c r="C42" s="54">
        <f t="shared" si="8"/>
        <v>5.5865921787709993E-3</v>
      </c>
      <c r="D42" s="55">
        <f>VLOOKUP(A42,Raw_Data!$R$19:$S$57,2,FALSE)</f>
        <v>7064</v>
      </c>
      <c r="E42" s="55">
        <f t="shared" si="0"/>
        <v>39.244444444444447</v>
      </c>
      <c r="F42" s="38">
        <v>225661</v>
      </c>
      <c r="G42" s="38">
        <v>15682</v>
      </c>
      <c r="H42" s="38">
        <f t="shared" si="1"/>
        <v>87.12222222222222</v>
      </c>
      <c r="I42" s="56">
        <f t="shared" si="2"/>
        <v>2.2199886749716873</v>
      </c>
      <c r="J42" s="38">
        <f t="shared" si="3"/>
        <v>31.945215175537939</v>
      </c>
      <c r="K42" s="57">
        <f t="shared" si="4"/>
        <v>14.389809973217703</v>
      </c>
    </row>
    <row r="53" spans="13:18" x14ac:dyDescent="0.35">
      <c r="M53" s="52"/>
      <c r="N53" s="52"/>
    </row>
    <row r="61" spans="13:18" x14ac:dyDescent="0.35">
      <c r="M61" s="53"/>
      <c r="N61" s="53"/>
      <c r="O61" s="53"/>
      <c r="P61" s="53"/>
      <c r="Q61" s="53"/>
      <c r="R61" s="53"/>
    </row>
    <row r="66" spans="13:21" x14ac:dyDescent="0.35">
      <c r="M66" s="53"/>
      <c r="N66" s="53"/>
      <c r="O66" s="53"/>
      <c r="P66" s="53"/>
      <c r="Q66" s="53"/>
      <c r="R66" s="53"/>
      <c r="S66" s="53"/>
      <c r="T66" s="53"/>
      <c r="U66" s="53"/>
    </row>
    <row r="74" spans="13:21" x14ac:dyDescent="0.35">
      <c r="M74" s="53"/>
      <c r="N74" s="53"/>
      <c r="O74" s="53"/>
      <c r="P74" s="53"/>
      <c r="R74" s="53"/>
      <c r="S74" s="53"/>
    </row>
  </sheetData>
  <sortState xmlns:xlrd2="http://schemas.microsoft.com/office/spreadsheetml/2017/richdata2" ref="S75:S110">
    <sortCondition ref="S75"/>
  </sortState>
  <mergeCells count="3">
    <mergeCell ref="AE19:AJ19"/>
    <mergeCell ref="AC21:AC27"/>
    <mergeCell ref="N22:O22"/>
  </mergeCells>
  <conditionalFormatting sqref="AC10">
    <cfRule type="containsText" dxfId="11" priority="7" operator="containsText" text="Insufficient">
      <formula>NOT(ISERROR(SEARCH("Insufficient",AC10)))</formula>
    </cfRule>
  </conditionalFormatting>
  <conditionalFormatting sqref="W24:W33">
    <cfRule type="containsText" dxfId="10" priority="1" operator="containsText" text="No">
      <formula>NOT(ISERROR(SEARCH("No",W24)))</formula>
    </cfRule>
    <cfRule type="containsText" dxfId="9" priority="2" operator="containsText" text="Yes">
      <formula>NOT(ISERROR(SEARCH("Yes",W24)))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EE2A4-6B39-4B04-A6E1-087CEF0E2BAD}">
  <dimension ref="A2:AG201"/>
  <sheetViews>
    <sheetView showGridLines="0" zoomScale="55" zoomScaleNormal="55" workbookViewId="0">
      <selection activeCell="B2" sqref="B2:N14"/>
    </sheetView>
  </sheetViews>
  <sheetFormatPr defaultRowHeight="14.5" x14ac:dyDescent="0.35"/>
  <cols>
    <col min="1" max="1" width="5.7265625" customWidth="1"/>
    <col min="2" max="2" width="16.90625" bestFit="1" customWidth="1"/>
    <col min="3" max="3" width="13.26953125" bestFit="1" customWidth="1"/>
    <col min="4" max="4" width="16.453125" bestFit="1" customWidth="1"/>
    <col min="5" max="5" width="10.81640625" hidden="1" customWidth="1"/>
    <col min="6" max="6" width="18.1796875" customWidth="1"/>
    <col min="7" max="7" width="12.453125" hidden="1" customWidth="1"/>
    <col min="8" max="8" width="10.7265625" bestFit="1" customWidth="1"/>
    <col min="9" max="9" width="16.08984375" bestFit="1" customWidth="1"/>
    <col min="10" max="10" width="16.26953125" bestFit="1" customWidth="1"/>
    <col min="11" max="11" width="15" bestFit="1" customWidth="1"/>
    <col min="12" max="12" width="14.08984375" bestFit="1" customWidth="1"/>
    <col min="13" max="13" width="16" hidden="1" customWidth="1"/>
    <col min="14" max="14" width="14.81640625" customWidth="1"/>
    <col min="15" max="15" width="17.26953125" customWidth="1"/>
    <col min="16" max="16" width="10" customWidth="1"/>
    <col min="17" max="17" width="8.6328125" bestFit="1" customWidth="1"/>
    <col min="18" max="19" width="8.6328125" customWidth="1"/>
    <col min="24" max="24" width="8.54296875" bestFit="1" customWidth="1"/>
    <col min="34" max="34" width="10.6328125" bestFit="1" customWidth="1"/>
  </cols>
  <sheetData>
    <row r="2" spans="1:22" ht="22" customHeight="1" x14ac:dyDescent="0.45">
      <c r="B2" s="10" t="s">
        <v>149</v>
      </c>
      <c r="C2" s="123" t="str">
        <f>Model!N22</f>
        <v># change here</v>
      </c>
      <c r="D2" s="123"/>
    </row>
    <row r="3" spans="1:22" ht="47.5" customHeight="1" x14ac:dyDescent="0.35">
      <c r="A3" s="90" t="s">
        <v>130</v>
      </c>
      <c r="B3" s="85" t="s">
        <v>53</v>
      </c>
      <c r="C3" s="85" t="s">
        <v>130</v>
      </c>
      <c r="D3" s="85" t="s">
        <v>106</v>
      </c>
      <c r="E3" s="85" t="s">
        <v>146</v>
      </c>
      <c r="F3" s="86" t="s">
        <v>147</v>
      </c>
      <c r="G3" s="85" t="s">
        <v>26</v>
      </c>
      <c r="H3" s="87" t="s">
        <v>104</v>
      </c>
      <c r="I3" s="87" t="s">
        <v>128</v>
      </c>
      <c r="J3" s="87" t="s">
        <v>107</v>
      </c>
      <c r="K3" s="89" t="s">
        <v>118</v>
      </c>
      <c r="L3" s="89" t="s">
        <v>122</v>
      </c>
      <c r="M3" s="88" t="s">
        <v>129</v>
      </c>
    </row>
    <row r="4" spans="1:22" ht="22" customHeight="1" x14ac:dyDescent="0.55000000000000004">
      <c r="A4" s="91">
        <v>2</v>
      </c>
      <c r="B4" s="103">
        <f>Model!M24</f>
        <v>2021</v>
      </c>
      <c r="C4" s="104">
        <v>2.3000000000000003</v>
      </c>
      <c r="D4" s="105">
        <v>32</v>
      </c>
      <c r="E4" s="106">
        <v>0</v>
      </c>
      <c r="F4" s="106">
        <v>0</v>
      </c>
      <c r="G4" s="107">
        <f t="shared" ref="G4:G13" si="0">D4/(J4/H4)</f>
        <v>13.913043478260867</v>
      </c>
      <c r="H4" s="108">
        <f t="shared" ref="H4:H13" si="1">I4/D4</f>
        <v>6976.7999257851243</v>
      </c>
      <c r="I4" s="108">
        <f>Model!Q7</f>
        <v>223257.59762512398</v>
      </c>
      <c r="J4" s="108">
        <f t="shared" ref="J4:J13" si="2">C4*(I4/D4)</f>
        <v>16046.639829305788</v>
      </c>
      <c r="K4" s="109">
        <f>((J4/1000)/K164-1)*100</f>
        <v>2.325212532239429</v>
      </c>
      <c r="L4" s="110">
        <f t="shared" ref="L4:L13" si="3">((1+K4/100)*(1+F4/100)-1)*100</f>
        <v>2.325212532239429</v>
      </c>
      <c r="M4" s="111" t="str">
        <f t="shared" ref="M4:M13" si="4">IF(L4&gt;E4,"No","Yes")</f>
        <v>No</v>
      </c>
      <c r="O4" s="101"/>
      <c r="P4" s="101"/>
      <c r="T4" s="101"/>
      <c r="V4" s="101"/>
    </row>
    <row r="5" spans="1:22" ht="22" customHeight="1" x14ac:dyDescent="0.55000000000000004">
      <c r="A5" s="91">
        <f t="shared" ref="A5:A14" si="5">A4+0.1</f>
        <v>2.1</v>
      </c>
      <c r="B5" s="103">
        <f>Model!M25</f>
        <v>2022</v>
      </c>
      <c r="C5" s="104">
        <v>2.3000000000000003</v>
      </c>
      <c r="D5" s="105">
        <v>31</v>
      </c>
      <c r="E5" s="106">
        <v>10</v>
      </c>
      <c r="F5" s="106">
        <v>5</v>
      </c>
      <c r="G5" s="107">
        <f t="shared" si="0"/>
        <v>13.478260869565215</v>
      </c>
      <c r="H5" s="108">
        <f t="shared" si="1"/>
        <v>7125.1546027779559</v>
      </c>
      <c r="I5" s="108">
        <f>Model!Q8</f>
        <v>220879.79268611662</v>
      </c>
      <c r="J5" s="108">
        <f t="shared" si="2"/>
        <v>16387.855586389302</v>
      </c>
      <c r="K5" s="110">
        <f t="shared" ref="K5:K13" si="6">(J5/J4-1)*100</f>
        <v>2.1264000483163681</v>
      </c>
      <c r="L5" s="110">
        <f t="shared" si="3"/>
        <v>7.2327200507321887</v>
      </c>
      <c r="M5" s="111" t="str">
        <f t="shared" si="4"/>
        <v>Yes</v>
      </c>
      <c r="T5" s="101"/>
      <c r="V5" s="101"/>
    </row>
    <row r="6" spans="1:22" ht="22" customHeight="1" x14ac:dyDescent="0.55000000000000004">
      <c r="A6" s="91">
        <f t="shared" si="5"/>
        <v>2.2000000000000002</v>
      </c>
      <c r="B6" s="103">
        <f>Model!M26</f>
        <v>2023</v>
      </c>
      <c r="C6" s="104">
        <v>2.4000000000000004</v>
      </c>
      <c r="D6" s="105">
        <v>31</v>
      </c>
      <c r="E6" s="106">
        <v>10</v>
      </c>
      <c r="F6" s="106">
        <f t="shared" ref="F6:F13" si="7">F5</f>
        <v>5</v>
      </c>
      <c r="G6" s="107">
        <f t="shared" si="0"/>
        <v>12.916666666666664</v>
      </c>
      <c r="H6" s="108">
        <f t="shared" si="1"/>
        <v>7049.2681470161024</v>
      </c>
      <c r="I6" s="108">
        <f>Model!Q9</f>
        <v>218527.31255749919</v>
      </c>
      <c r="J6" s="108">
        <f t="shared" si="2"/>
        <v>16918.243552838649</v>
      </c>
      <c r="K6" s="110">
        <f t="shared" si="6"/>
        <v>3.2364696140589233</v>
      </c>
      <c r="L6" s="110">
        <f t="shared" si="3"/>
        <v>8.3982930947618772</v>
      </c>
      <c r="M6" s="111" t="str">
        <f t="shared" si="4"/>
        <v>Yes</v>
      </c>
    </row>
    <row r="7" spans="1:22" ht="22" customHeight="1" x14ac:dyDescent="0.55000000000000004">
      <c r="A7" s="91">
        <f t="shared" si="5"/>
        <v>2.3000000000000003</v>
      </c>
      <c r="B7" s="103">
        <f>Model!M27</f>
        <v>2024</v>
      </c>
      <c r="C7" s="104">
        <v>2.4000000000000004</v>
      </c>
      <c r="D7" s="105">
        <v>30</v>
      </c>
      <c r="E7" s="106">
        <v>10</v>
      </c>
      <c r="F7" s="106">
        <f t="shared" si="7"/>
        <v>5</v>
      </c>
      <c r="G7" s="107">
        <f t="shared" si="0"/>
        <v>12.499999999999998</v>
      </c>
      <c r="H7" s="108">
        <f t="shared" si="1"/>
        <v>7206.662917246349</v>
      </c>
      <c r="I7" s="108">
        <f>Model!Q10</f>
        <v>216199.88751739048</v>
      </c>
      <c r="J7" s="108">
        <f t="shared" si="2"/>
        <v>17295.991001391241</v>
      </c>
      <c r="K7" s="110">
        <f t="shared" si="6"/>
        <v>2.2327817150333606</v>
      </c>
      <c r="L7" s="110">
        <f t="shared" si="3"/>
        <v>7.3444208007850342</v>
      </c>
      <c r="M7" s="111" t="str">
        <f t="shared" si="4"/>
        <v>Yes</v>
      </c>
    </row>
    <row r="8" spans="1:22" ht="22" customHeight="1" x14ac:dyDescent="0.55000000000000004">
      <c r="A8" s="91">
        <f t="shared" si="5"/>
        <v>2.4000000000000004</v>
      </c>
      <c r="B8" s="103">
        <f>Model!M28</f>
        <v>2025</v>
      </c>
      <c r="C8" s="104">
        <v>2.5000000000000004</v>
      </c>
      <c r="D8" s="105">
        <v>30</v>
      </c>
      <c r="E8" s="106">
        <v>10</v>
      </c>
      <c r="F8" s="106">
        <f t="shared" si="7"/>
        <v>5</v>
      </c>
      <c r="G8" s="107">
        <f t="shared" si="0"/>
        <v>11.999999999999998</v>
      </c>
      <c r="H8" s="108">
        <f t="shared" si="1"/>
        <v>7129.9083572194031</v>
      </c>
      <c r="I8" s="108">
        <f>Model!Q11</f>
        <v>213897.25071658209</v>
      </c>
      <c r="J8" s="108">
        <f t="shared" si="2"/>
        <v>17824.77089304851</v>
      </c>
      <c r="K8" s="110">
        <f t="shared" si="6"/>
        <v>3.0572396320900808</v>
      </c>
      <c r="L8" s="110">
        <f t="shared" si="3"/>
        <v>8.2101016136945972</v>
      </c>
      <c r="M8" s="111" t="str">
        <f t="shared" si="4"/>
        <v>Yes</v>
      </c>
    </row>
    <row r="9" spans="1:22" ht="22" customHeight="1" x14ac:dyDescent="0.55000000000000004">
      <c r="A9" s="91">
        <f t="shared" si="5"/>
        <v>2.5000000000000004</v>
      </c>
      <c r="B9" s="103">
        <f>Model!M29</f>
        <v>2026</v>
      </c>
      <c r="C9" s="104">
        <v>2.6000000000000005</v>
      </c>
      <c r="D9" s="105">
        <v>30</v>
      </c>
      <c r="E9" s="106">
        <v>10</v>
      </c>
      <c r="F9" s="106">
        <f t="shared" si="7"/>
        <v>5</v>
      </c>
      <c r="G9" s="107">
        <f t="shared" si="0"/>
        <v>11.538461538461537</v>
      </c>
      <c r="H9" s="108">
        <f t="shared" si="1"/>
        <v>7053.9712715980968</v>
      </c>
      <c r="I9" s="108">
        <f>Model!Q12</f>
        <v>211619.1381479429</v>
      </c>
      <c r="J9" s="108">
        <f t="shared" si="2"/>
        <v>18340.325306155057</v>
      </c>
      <c r="K9" s="110">
        <f t="shared" si="6"/>
        <v>2.8923480486787501</v>
      </c>
      <c r="L9" s="110">
        <f t="shared" si="3"/>
        <v>8.0369654511126996</v>
      </c>
      <c r="M9" s="111" t="str">
        <f t="shared" si="4"/>
        <v>Yes</v>
      </c>
    </row>
    <row r="10" spans="1:22" ht="22" customHeight="1" x14ac:dyDescent="0.55000000000000004">
      <c r="A10" s="91">
        <f t="shared" si="5"/>
        <v>2.6000000000000005</v>
      </c>
      <c r="B10" s="103">
        <f>Model!M30</f>
        <v>2027</v>
      </c>
      <c r="C10" s="104">
        <v>2.7000000000000006</v>
      </c>
      <c r="D10" s="105">
        <v>30</v>
      </c>
      <c r="E10" s="106">
        <v>10</v>
      </c>
      <c r="F10" s="106">
        <f t="shared" si="7"/>
        <v>5</v>
      </c>
      <c r="G10" s="107">
        <f t="shared" si="0"/>
        <v>11.111111111111109</v>
      </c>
      <c r="H10" s="108">
        <f t="shared" si="1"/>
        <v>6978.8429538716564</v>
      </c>
      <c r="I10" s="108">
        <f>Model!Q13</f>
        <v>209365.28861614969</v>
      </c>
      <c r="J10" s="108">
        <f t="shared" si="2"/>
        <v>18842.875975453477</v>
      </c>
      <c r="K10" s="110">
        <f t="shared" si="6"/>
        <v>2.7401404332221047</v>
      </c>
      <c r="L10" s="110">
        <f t="shared" si="3"/>
        <v>7.8771474548832154</v>
      </c>
      <c r="M10" s="111" t="str">
        <f t="shared" si="4"/>
        <v>Yes</v>
      </c>
      <c r="R10" s="102"/>
    </row>
    <row r="11" spans="1:22" ht="22" customHeight="1" x14ac:dyDescent="0.55000000000000004">
      <c r="A11" s="91">
        <f t="shared" si="5"/>
        <v>2.7000000000000006</v>
      </c>
      <c r="B11" s="103">
        <f>Model!M31</f>
        <v>2028</v>
      </c>
      <c r="C11" s="104">
        <v>2.7000000000000006</v>
      </c>
      <c r="D11" s="105">
        <v>29</v>
      </c>
      <c r="E11" s="106">
        <v>10</v>
      </c>
      <c r="F11" s="106">
        <f t="shared" si="7"/>
        <v>5</v>
      </c>
      <c r="G11" s="107">
        <f t="shared" si="0"/>
        <v>10.74074074074074</v>
      </c>
      <c r="H11" s="108">
        <f t="shared" si="1"/>
        <v>7142.6015071634447</v>
      </c>
      <c r="I11" s="108">
        <f>Model!Q14</f>
        <v>207135.44370773991</v>
      </c>
      <c r="J11" s="108">
        <f t="shared" si="2"/>
        <v>19285.024069341303</v>
      </c>
      <c r="K11" s="110">
        <f t="shared" si="6"/>
        <v>2.3465000484204745</v>
      </c>
      <c r="L11" s="110">
        <f t="shared" si="3"/>
        <v>7.4638250508415105</v>
      </c>
      <c r="M11" s="111" t="str">
        <f t="shared" si="4"/>
        <v>Yes</v>
      </c>
    </row>
    <row r="12" spans="1:22" ht="22" customHeight="1" x14ac:dyDescent="0.55000000000000004">
      <c r="A12" s="91">
        <f t="shared" si="5"/>
        <v>2.8000000000000007</v>
      </c>
      <c r="B12" s="103">
        <f>Model!M32</f>
        <v>2029</v>
      </c>
      <c r="C12" s="104">
        <v>2.8000000000000007</v>
      </c>
      <c r="D12" s="105">
        <v>28</v>
      </c>
      <c r="E12" s="106">
        <v>10</v>
      </c>
      <c r="F12" s="106">
        <f t="shared" si="7"/>
        <v>5</v>
      </c>
      <c r="G12" s="107">
        <f t="shared" si="0"/>
        <v>9.9999999999999982</v>
      </c>
      <c r="H12" s="108">
        <f t="shared" si="1"/>
        <v>7318.9052771958368</v>
      </c>
      <c r="I12" s="108">
        <f>Model!Q15</f>
        <v>204929.34776148343</v>
      </c>
      <c r="J12" s="108">
        <f t="shared" si="2"/>
        <v>20492.934776148348</v>
      </c>
      <c r="K12" s="110">
        <f t="shared" si="6"/>
        <v>6.2634648650884639</v>
      </c>
      <c r="L12" s="110">
        <f t="shared" si="3"/>
        <v>11.576638108342884</v>
      </c>
      <c r="M12" s="111" t="str">
        <f t="shared" si="4"/>
        <v>No</v>
      </c>
    </row>
    <row r="13" spans="1:22" ht="22" customHeight="1" x14ac:dyDescent="0.55000000000000004">
      <c r="A13" s="91">
        <f t="shared" si="5"/>
        <v>2.9000000000000008</v>
      </c>
      <c r="B13" s="103">
        <f>Model!M33</f>
        <v>2030</v>
      </c>
      <c r="C13" s="104">
        <v>2.9000000000000008</v>
      </c>
      <c r="D13" s="112">
        <v>27</v>
      </c>
      <c r="E13" s="106">
        <v>10</v>
      </c>
      <c r="F13" s="106">
        <f t="shared" si="7"/>
        <v>5</v>
      </c>
      <c r="G13" s="107">
        <f t="shared" si="0"/>
        <v>9.3103448275862046</v>
      </c>
      <c r="H13" s="108">
        <f t="shared" si="1"/>
        <v>7509.1388088544427</v>
      </c>
      <c r="I13" s="108">
        <f>Model!Q16</f>
        <v>202746.74783906995</v>
      </c>
      <c r="J13" s="108">
        <f t="shared" si="2"/>
        <v>21776.502545677889</v>
      </c>
      <c r="K13" s="110">
        <f t="shared" si="6"/>
        <v>6.2634648650884417</v>
      </c>
      <c r="L13" s="110">
        <f t="shared" si="3"/>
        <v>11.576638108342863</v>
      </c>
      <c r="M13" s="111" t="str">
        <f t="shared" si="4"/>
        <v>No</v>
      </c>
    </row>
    <row r="14" spans="1:22" x14ac:dyDescent="0.35">
      <c r="A14" s="91">
        <f t="shared" si="5"/>
        <v>3.0000000000000009</v>
      </c>
      <c r="M14" s="44"/>
    </row>
    <row r="15" spans="1:22" x14ac:dyDescent="0.35">
      <c r="T15" s="99"/>
    </row>
    <row r="43" spans="1:1" x14ac:dyDescent="0.35">
      <c r="A43" s="95"/>
    </row>
    <row r="70" spans="1:33" x14ac:dyDescent="0.35">
      <c r="B70" s="95" t="s">
        <v>123</v>
      </c>
    </row>
    <row r="71" spans="1:33" x14ac:dyDescent="0.35">
      <c r="C71" s="121" t="s">
        <v>130</v>
      </c>
      <c r="D71" s="121"/>
      <c r="E71" s="121"/>
      <c r="F71" s="121"/>
      <c r="G71" s="121"/>
      <c r="H71" s="121"/>
      <c r="I71" s="121"/>
      <c r="J71" s="121"/>
      <c r="K71" s="121"/>
      <c r="N71" s="121"/>
      <c r="O71" s="121"/>
      <c r="P71" s="121"/>
      <c r="Q71" s="121"/>
      <c r="R71" s="121"/>
      <c r="S71" s="121"/>
      <c r="T71" s="121"/>
      <c r="U71" s="121"/>
      <c r="V71" s="121"/>
      <c r="Y71" s="121"/>
      <c r="Z71" s="121"/>
      <c r="AA71" s="121"/>
      <c r="AB71" s="121"/>
      <c r="AC71" s="121"/>
      <c r="AD71" s="121"/>
      <c r="AE71" s="121"/>
      <c r="AF71" s="121"/>
      <c r="AG71" s="121"/>
    </row>
    <row r="72" spans="1:33" x14ac:dyDescent="0.35">
      <c r="B72" s="93">
        <f>L4</f>
        <v>2.325212532239429</v>
      </c>
      <c r="C72" s="92">
        <v>2.2000000000000002</v>
      </c>
      <c r="D72" s="92">
        <v>2.2999999999999998</v>
      </c>
      <c r="E72" s="92">
        <v>2.4</v>
      </c>
      <c r="F72" s="92">
        <v>2.5</v>
      </c>
      <c r="G72" s="92">
        <v>2.6</v>
      </c>
      <c r="H72" s="92">
        <v>2.7</v>
      </c>
      <c r="I72" s="92">
        <v>2.8</v>
      </c>
      <c r="J72" s="92">
        <v>2.9</v>
      </c>
      <c r="K72" s="92">
        <v>3</v>
      </c>
      <c r="M72" s="91">
        <f>L5</f>
        <v>7.2327200507321887</v>
      </c>
      <c r="N72" s="92">
        <v>2.2000000000000002</v>
      </c>
      <c r="O72" s="92">
        <v>2.2999999999999998</v>
      </c>
      <c r="P72" s="92">
        <v>2.4</v>
      </c>
      <c r="Q72" s="92">
        <v>2.5</v>
      </c>
      <c r="R72" s="92">
        <v>2.6</v>
      </c>
      <c r="S72" s="92">
        <v>2.7</v>
      </c>
      <c r="T72" s="92">
        <v>2.8</v>
      </c>
      <c r="U72" s="92">
        <v>2.9</v>
      </c>
      <c r="V72" s="92">
        <v>3</v>
      </c>
      <c r="X72" s="91">
        <f>L6</f>
        <v>8.3982930947618772</v>
      </c>
      <c r="Y72" s="92">
        <v>2.2000000000000002</v>
      </c>
      <c r="Z72" s="92">
        <v>2.2999999999999998</v>
      </c>
      <c r="AA72" s="92">
        <v>2.4</v>
      </c>
      <c r="AB72" s="92">
        <v>2.5</v>
      </c>
      <c r="AC72" s="92">
        <v>2.6</v>
      </c>
      <c r="AD72" s="92">
        <v>2.7</v>
      </c>
      <c r="AE72" s="92">
        <v>2.8</v>
      </c>
      <c r="AF72" s="92">
        <v>2.9</v>
      </c>
      <c r="AG72" s="92">
        <v>3</v>
      </c>
    </row>
    <row r="73" spans="1:33" x14ac:dyDescent="0.35">
      <c r="A73" s="122" t="s">
        <v>106</v>
      </c>
      <c r="B73" s="94">
        <v>32</v>
      </c>
      <c r="C73" s="47">
        <f t="dataTable" ref="C73:K82" dt2D="1" dtr="1" r1="C4" r2="D4"/>
        <v>-2.1237097517709969</v>
      </c>
      <c r="D73" s="47">
        <v>2.3252125322394068</v>
      </c>
      <c r="E73" s="47">
        <v>6.7741348162498438</v>
      </c>
      <c r="F73" s="47">
        <v>11.223057100260236</v>
      </c>
      <c r="G73" s="47">
        <v>15.671979384270651</v>
      </c>
      <c r="H73" s="47">
        <v>20.120901668281064</v>
      </c>
      <c r="I73" s="47">
        <v>24.569823952291458</v>
      </c>
      <c r="J73" s="47">
        <v>29.018746236301851</v>
      </c>
      <c r="K73" s="47">
        <v>33.467668520312287</v>
      </c>
      <c r="L73" s="122"/>
      <c r="M73" s="94">
        <v>32</v>
      </c>
      <c r="N73" s="47">
        <f t="dataTable" ref="N73:V82" dt2D="1" dtr="1" r1="C5" r2="D5"/>
        <v>-0.63489799646827549</v>
      </c>
      <c r="O73" s="47">
        <v>3.8816975491467787</v>
      </c>
      <c r="P73" s="47">
        <v>8.3982930947618772</v>
      </c>
      <c r="Q73" s="47">
        <v>12.914888640376931</v>
      </c>
      <c r="R73" s="47">
        <v>17.43148418599203</v>
      </c>
      <c r="S73" s="47">
        <v>21.948079731607105</v>
      </c>
      <c r="T73" s="47">
        <v>26.464675277222184</v>
      </c>
      <c r="U73" s="47">
        <v>30.981270822837281</v>
      </c>
      <c r="V73" s="47">
        <v>35.497866368452335</v>
      </c>
      <c r="W73" s="122" t="s">
        <v>106</v>
      </c>
      <c r="X73" s="94">
        <v>32</v>
      </c>
      <c r="Y73" s="47">
        <f t="dataTable" ref="Y73:AG82" dt2D="1" dtr="1" r1="C6" r2="D6"/>
        <v>-3.7400574340786474</v>
      </c>
      <c r="Z73" s="47">
        <v>0.63539450073593073</v>
      </c>
      <c r="AA73" s="47">
        <v>5.0108464355505644</v>
      </c>
      <c r="AB73" s="47">
        <v>9.3862983703651537</v>
      </c>
      <c r="AC73" s="47">
        <v>13.761750305179788</v>
      </c>
      <c r="AD73" s="47">
        <v>18.137202239994377</v>
      </c>
      <c r="AE73" s="47">
        <v>22.512654174808965</v>
      </c>
      <c r="AF73" s="47">
        <v>26.8881061096236</v>
      </c>
      <c r="AG73" s="47">
        <v>31.263558044438188</v>
      </c>
    </row>
    <row r="74" spans="1:33" x14ac:dyDescent="0.35">
      <c r="A74" s="122"/>
      <c r="B74" s="94">
        <v>31</v>
      </c>
      <c r="C74" s="47">
        <v>1.0335899336557652</v>
      </c>
      <c r="D74" s="47">
        <v>5.626025839730997</v>
      </c>
      <c r="E74" s="47">
        <v>10.218461745806273</v>
      </c>
      <c r="F74" s="47">
        <v>14.810897651881527</v>
      </c>
      <c r="G74" s="47">
        <v>19.403333557956802</v>
      </c>
      <c r="H74" s="47">
        <v>23.995769464032058</v>
      </c>
      <c r="I74" s="47">
        <v>28.58820537010731</v>
      </c>
      <c r="J74" s="47">
        <v>33.180641276182563</v>
      </c>
      <c r="K74" s="47">
        <v>37.773077182257843</v>
      </c>
      <c r="L74" s="122"/>
      <c r="M74" s="94">
        <v>31</v>
      </c>
      <c r="N74" s="47">
        <v>2.5704278746133902</v>
      </c>
      <c r="O74" s="47">
        <v>7.2327200507321665</v>
      </c>
      <c r="P74" s="47">
        <v>11.895012226850966</v>
      </c>
      <c r="Q74" s="47">
        <v>16.557304402969763</v>
      </c>
      <c r="R74" s="47">
        <v>21.219596579088538</v>
      </c>
      <c r="S74" s="47">
        <v>25.88188875520736</v>
      </c>
      <c r="T74" s="47">
        <v>30.544180931326139</v>
      </c>
      <c r="U74" s="47">
        <v>35.206473107444914</v>
      </c>
      <c r="V74" s="47">
        <v>39.868765283563711</v>
      </c>
      <c r="W74" s="122"/>
      <c r="X74" s="94">
        <v>31</v>
      </c>
      <c r="Y74" s="47">
        <v>-0.6348979964682866</v>
      </c>
      <c r="Z74" s="47">
        <v>3.8816975491467787</v>
      </c>
      <c r="AA74" s="47">
        <v>8.3982930947618541</v>
      </c>
      <c r="AB74" s="47">
        <v>12.914888640376931</v>
      </c>
      <c r="AC74" s="47">
        <v>17.431484185992009</v>
      </c>
      <c r="AD74" s="47">
        <v>21.948079731607084</v>
      </c>
      <c r="AE74" s="47">
        <v>26.46467527722216</v>
      </c>
      <c r="AF74" s="47">
        <v>30.981270822837239</v>
      </c>
      <c r="AG74" s="47">
        <v>35.497866368452314</v>
      </c>
    </row>
    <row r="75" spans="1:33" x14ac:dyDescent="0.35">
      <c r="A75" s="122"/>
      <c r="B75" s="94">
        <v>30</v>
      </c>
      <c r="C75" s="47">
        <v>4.4013762647776122</v>
      </c>
      <c r="D75" s="47">
        <v>9.146893367722031</v>
      </c>
      <c r="E75" s="47">
        <v>13.892410470666473</v>
      </c>
      <c r="F75" s="47">
        <v>18.637927573610934</v>
      </c>
      <c r="G75" s="47">
        <v>23.383444676555353</v>
      </c>
      <c r="H75" s="47">
        <v>28.128961779499797</v>
      </c>
      <c r="I75" s="47">
        <v>32.874478882444215</v>
      </c>
      <c r="J75" s="47">
        <v>37.619995985388655</v>
      </c>
      <c r="K75" s="47">
        <v>42.365513088333095</v>
      </c>
      <c r="L75" s="122"/>
      <c r="M75" s="94">
        <v>30</v>
      </c>
      <c r="N75" s="47">
        <v>5.9894421371004869</v>
      </c>
      <c r="O75" s="47">
        <v>10.807144052423245</v>
      </c>
      <c r="P75" s="47">
        <v>15.624845967746005</v>
      </c>
      <c r="Q75" s="47">
        <v>20.44254788306872</v>
      </c>
      <c r="R75" s="47">
        <v>25.260249798391499</v>
      </c>
      <c r="S75" s="47">
        <v>30.077951713714256</v>
      </c>
      <c r="T75" s="47">
        <v>34.895653629036971</v>
      </c>
      <c r="U75" s="47">
        <v>39.713355544359729</v>
      </c>
      <c r="V75" s="47">
        <v>44.531057459682486</v>
      </c>
      <c r="W75" s="122"/>
      <c r="X75" s="94">
        <v>30</v>
      </c>
      <c r="Y75" s="47">
        <v>2.6772720703160946</v>
      </c>
      <c r="Z75" s="47">
        <v>7.3444208007849898</v>
      </c>
      <c r="AA75" s="47">
        <v>12.011569531253929</v>
      </c>
      <c r="AB75" s="47">
        <v>16.678718261722846</v>
      </c>
      <c r="AC75" s="47">
        <v>21.345866992191741</v>
      </c>
      <c r="AD75" s="47">
        <v>26.013015722660683</v>
      </c>
      <c r="AE75" s="47">
        <v>30.680164453129578</v>
      </c>
      <c r="AF75" s="47">
        <v>35.347313183598494</v>
      </c>
      <c r="AG75" s="47">
        <v>40.014461914067411</v>
      </c>
    </row>
    <row r="76" spans="1:33" x14ac:dyDescent="0.35">
      <c r="A76" s="122"/>
      <c r="B76" s="94">
        <v>29</v>
      </c>
      <c r="C76" s="47">
        <v>8.0014237221837536</v>
      </c>
      <c r="D76" s="47">
        <v>12.910579345919349</v>
      </c>
      <c r="E76" s="47">
        <v>17.819734969654988</v>
      </c>
      <c r="F76" s="47">
        <v>22.728890593390606</v>
      </c>
      <c r="G76" s="47">
        <v>27.638046217126245</v>
      </c>
      <c r="H76" s="47">
        <v>32.54720184086186</v>
      </c>
      <c r="I76" s="47">
        <v>37.456357464597481</v>
      </c>
      <c r="J76" s="47">
        <v>42.365513088333095</v>
      </c>
      <c r="K76" s="47">
        <v>47.274668712068731</v>
      </c>
      <c r="L76" s="122"/>
      <c r="M76" s="94">
        <v>29</v>
      </c>
      <c r="N76" s="47">
        <v>9.6442504866557144</v>
      </c>
      <c r="O76" s="47">
        <v>14.62808005423093</v>
      </c>
      <c r="P76" s="47">
        <v>19.611909621806213</v>
      </c>
      <c r="Q76" s="47">
        <v>24.595739189381472</v>
      </c>
      <c r="R76" s="47">
        <v>29.579568756956732</v>
      </c>
      <c r="S76" s="47">
        <v>34.563398324532017</v>
      </c>
      <c r="T76" s="47">
        <v>39.547227892107252</v>
      </c>
      <c r="U76" s="47">
        <v>44.531057459682508</v>
      </c>
      <c r="V76" s="47">
        <v>49.51488702725775</v>
      </c>
      <c r="W76" s="122"/>
      <c r="X76" s="94">
        <v>29</v>
      </c>
      <c r="Y76" s="47">
        <v>6.2178676589476956</v>
      </c>
      <c r="Z76" s="47">
        <v>11.045952552536198</v>
      </c>
      <c r="AA76" s="47">
        <v>15.874037446124722</v>
      </c>
      <c r="AB76" s="47">
        <v>20.702122339713291</v>
      </c>
      <c r="AC76" s="47">
        <v>25.530207233301816</v>
      </c>
      <c r="AD76" s="47">
        <v>30.358292126890341</v>
      </c>
      <c r="AE76" s="47">
        <v>35.186377020478844</v>
      </c>
      <c r="AF76" s="47">
        <v>40.014461914067411</v>
      </c>
      <c r="AG76" s="47">
        <v>44.842546807655914</v>
      </c>
    </row>
    <row r="77" spans="1:33" x14ac:dyDescent="0.35">
      <c r="A77" s="122"/>
      <c r="B77" s="94">
        <v>28</v>
      </c>
      <c r="C77" s="47">
        <v>11.858617426547436</v>
      </c>
      <c r="D77" s="47">
        <v>16.943100036845049</v>
      </c>
      <c r="E77" s="47">
        <v>22.027582647142641</v>
      </c>
      <c r="F77" s="47">
        <v>27.112065257440278</v>
      </c>
      <c r="G77" s="47">
        <v>32.196547867737891</v>
      </c>
      <c r="H77" s="47">
        <v>37.281030478035483</v>
      </c>
      <c r="I77" s="47">
        <v>42.365513088333095</v>
      </c>
      <c r="J77" s="47">
        <v>47.449995698630708</v>
      </c>
      <c r="K77" s="47">
        <v>52.534478308928321</v>
      </c>
      <c r="L77" s="122"/>
      <c r="M77" s="94">
        <v>28</v>
      </c>
      <c r="N77" s="47">
        <v>13.560116575464832</v>
      </c>
      <c r="O77" s="47">
        <v>18.721940056167739</v>
      </c>
      <c r="P77" s="47">
        <v>23.883763536870717</v>
      </c>
      <c r="Q77" s="47">
        <v>29.04558701757367</v>
      </c>
      <c r="R77" s="47">
        <v>34.207410498276602</v>
      </c>
      <c r="S77" s="47">
        <v>39.369233978979558</v>
      </c>
      <c r="T77" s="47">
        <v>44.531057459682486</v>
      </c>
      <c r="U77" s="47">
        <v>49.692880940385443</v>
      </c>
      <c r="V77" s="47">
        <v>54.854704421088371</v>
      </c>
      <c r="W77" s="122"/>
      <c r="X77" s="94">
        <v>28</v>
      </c>
      <c r="Y77" s="47">
        <v>10.011362932481527</v>
      </c>
      <c r="Z77" s="47">
        <v>15.011879429412488</v>
      </c>
      <c r="AA77" s="47">
        <v>20.012395926343473</v>
      </c>
      <c r="AB77" s="47">
        <v>25.012912423274479</v>
      </c>
      <c r="AC77" s="47">
        <v>30.013428920205463</v>
      </c>
      <c r="AD77" s="47">
        <v>35.013945417136426</v>
      </c>
      <c r="AE77" s="47">
        <v>40.014461914067411</v>
      </c>
      <c r="AF77" s="47">
        <v>45.014978410998374</v>
      </c>
      <c r="AG77" s="47">
        <v>50.015494907929359</v>
      </c>
    </row>
    <row r="78" spans="1:33" x14ac:dyDescent="0.35">
      <c r="A78" s="122"/>
      <c r="B78" s="94">
        <v>27</v>
      </c>
      <c r="C78" s="47">
        <v>16.001529183086237</v>
      </c>
      <c r="D78" s="47">
        <v>21.27432596413561</v>
      </c>
      <c r="E78" s="47">
        <v>26.547122745184957</v>
      </c>
      <c r="F78" s="47">
        <v>31.81991952623433</v>
      </c>
      <c r="G78" s="47">
        <v>37.092716307283723</v>
      </c>
      <c r="H78" s="47">
        <v>42.365513088333095</v>
      </c>
      <c r="I78" s="47">
        <v>47.638309869382446</v>
      </c>
      <c r="J78" s="47">
        <v>52.911106650431819</v>
      </c>
      <c r="K78" s="47">
        <v>58.183903431481212</v>
      </c>
      <c r="L78" s="122"/>
      <c r="M78" s="94">
        <v>27</v>
      </c>
      <c r="N78" s="47">
        <v>17.766046819000557</v>
      </c>
      <c r="O78" s="47">
        <v>23.119048947136946</v>
      </c>
      <c r="P78" s="47">
        <v>28.472051075273331</v>
      </c>
      <c r="Q78" s="47">
        <v>33.825053203409738</v>
      </c>
      <c r="R78" s="47">
        <v>39.178055331546126</v>
      </c>
      <c r="S78" s="47">
        <v>44.531057459682508</v>
      </c>
      <c r="T78" s="47">
        <v>49.884059587818896</v>
      </c>
      <c r="U78" s="47">
        <v>55.237061715955285</v>
      </c>
      <c r="V78" s="47">
        <v>60.590063844091645</v>
      </c>
      <c r="W78" s="122"/>
      <c r="X78" s="94">
        <v>27</v>
      </c>
      <c r="Y78" s="47">
        <v>14.085857855906747</v>
      </c>
      <c r="Z78" s="47">
        <v>19.271578667538879</v>
      </c>
      <c r="AA78" s="47">
        <v>24.457299479171013</v>
      </c>
      <c r="AB78" s="47">
        <v>29.643020290803122</v>
      </c>
      <c r="AC78" s="47">
        <v>34.828741102435281</v>
      </c>
      <c r="AD78" s="47">
        <v>40.014461914067432</v>
      </c>
      <c r="AE78" s="47">
        <v>45.20018272569952</v>
      </c>
      <c r="AF78" s="47">
        <v>50.385903537331657</v>
      </c>
      <c r="AG78" s="47">
        <v>55.571624348963788</v>
      </c>
    </row>
    <row r="79" spans="1:33" x14ac:dyDescent="0.35">
      <c r="A79" s="122"/>
      <c r="B79" s="94">
        <v>26</v>
      </c>
      <c r="C79" s="47">
        <v>20.463126459358794</v>
      </c>
      <c r="D79" s="47">
        <v>25.938723116602347</v>
      </c>
      <c r="E79" s="47">
        <v>31.414319773845946</v>
      </c>
      <c r="F79" s="47">
        <v>36.889916431089517</v>
      </c>
      <c r="G79" s="47">
        <v>42.365513088333117</v>
      </c>
      <c r="H79" s="47">
        <v>47.841109745576695</v>
      </c>
      <c r="I79" s="47">
        <v>53.316706402820266</v>
      </c>
      <c r="J79" s="47">
        <v>58.792303060063844</v>
      </c>
      <c r="K79" s="47">
        <v>64.267899717307444</v>
      </c>
      <c r="L79" s="122"/>
      <c r="M79" s="94">
        <v>26</v>
      </c>
      <c r="N79" s="47">
        <v>22.295510158192911</v>
      </c>
      <c r="O79" s="47">
        <v>27.854396983565287</v>
      </c>
      <c r="P79" s="47">
        <v>33.413283808937692</v>
      </c>
      <c r="Q79" s="47">
        <v>38.972170634310132</v>
      </c>
      <c r="R79" s="47">
        <v>44.531057459682508</v>
      </c>
      <c r="S79" s="47">
        <v>50.089944285054933</v>
      </c>
      <c r="T79" s="47">
        <v>55.648831110427309</v>
      </c>
      <c r="U79" s="47">
        <v>61.207717935799707</v>
      </c>
      <c r="V79" s="47">
        <v>66.766604761172132</v>
      </c>
      <c r="W79" s="122"/>
      <c r="X79" s="94">
        <v>26</v>
      </c>
      <c r="Y79" s="47">
        <v>18.473775465749377</v>
      </c>
      <c r="Z79" s="47">
        <v>23.858947077828851</v>
      </c>
      <c r="AA79" s="47">
        <v>29.244118689908372</v>
      </c>
      <c r="AB79" s="47">
        <v>34.629290301987893</v>
      </c>
      <c r="AC79" s="47">
        <v>40.014461914067432</v>
      </c>
      <c r="AD79" s="47">
        <v>45.399633526146928</v>
      </c>
      <c r="AE79" s="47">
        <v>50.78480513822641</v>
      </c>
      <c r="AF79" s="47">
        <v>56.169976750305949</v>
      </c>
      <c r="AG79" s="47">
        <v>61.555148362385445</v>
      </c>
    </row>
    <row r="80" spans="1:33" x14ac:dyDescent="0.35">
      <c r="A80" s="122"/>
      <c r="B80" s="94">
        <v>25</v>
      </c>
      <c r="C80" s="47">
        <v>25.281651517733138</v>
      </c>
      <c r="D80" s="47">
        <v>30.976272041266427</v>
      </c>
      <c r="E80" s="47">
        <v>36.670892564799786</v>
      </c>
      <c r="F80" s="47">
        <v>42.365513088333095</v>
      </c>
      <c r="G80" s="47">
        <v>48.060133611866426</v>
      </c>
      <c r="H80" s="47">
        <v>53.754754135399764</v>
      </c>
      <c r="I80" s="47">
        <v>59.449374658933074</v>
      </c>
      <c r="J80" s="47">
        <v>65.143995182466384</v>
      </c>
      <c r="K80" s="47">
        <v>70.838615705999743</v>
      </c>
      <c r="L80" s="122"/>
      <c r="M80" s="94">
        <v>25</v>
      </c>
      <c r="N80" s="47">
        <v>27.187330564520586</v>
      </c>
      <c r="O80" s="47">
        <v>32.968572862907884</v>
      </c>
      <c r="P80" s="47">
        <v>38.749815161295189</v>
      </c>
      <c r="Q80" s="47">
        <v>44.531057459682508</v>
      </c>
      <c r="R80" s="47">
        <v>50.312299758069791</v>
      </c>
      <c r="S80" s="47">
        <v>56.09354205645711</v>
      </c>
      <c r="T80" s="47">
        <v>61.874784354844394</v>
      </c>
      <c r="U80" s="47">
        <v>67.656026653231677</v>
      </c>
      <c r="V80" s="47">
        <v>73.437268951618989</v>
      </c>
      <c r="W80" s="122"/>
      <c r="X80" s="94">
        <v>25</v>
      </c>
      <c r="Y80" s="47">
        <v>23.212726484379331</v>
      </c>
      <c r="Z80" s="47">
        <v>28.813304960942009</v>
      </c>
      <c r="AA80" s="47">
        <v>34.413883437504687</v>
      </c>
      <c r="AB80" s="47">
        <v>40.014461914067411</v>
      </c>
      <c r="AC80" s="47">
        <v>45.615040390630114</v>
      </c>
      <c r="AD80" s="47">
        <v>51.215618867192788</v>
      </c>
      <c r="AE80" s="47">
        <v>56.816197343755469</v>
      </c>
      <c r="AF80" s="47">
        <v>62.416775820318172</v>
      </c>
      <c r="AG80" s="47">
        <v>68.017354296880868</v>
      </c>
    </row>
    <row r="81" spans="1:33" x14ac:dyDescent="0.35">
      <c r="A81" s="122"/>
      <c r="B81" s="94">
        <v>24</v>
      </c>
      <c r="C81" s="47">
        <v>30.501720330972049</v>
      </c>
      <c r="D81" s="47">
        <v>36.433616709652547</v>
      </c>
      <c r="E81" s="47">
        <v>42.365513088333095</v>
      </c>
      <c r="F81" s="47">
        <v>48.297409467013665</v>
      </c>
      <c r="G81" s="47">
        <v>54.229305845694206</v>
      </c>
      <c r="H81" s="47">
        <v>60.161202224374776</v>
      </c>
      <c r="I81" s="47">
        <v>66.093098603055253</v>
      </c>
      <c r="J81" s="47">
        <v>72.024994981735802</v>
      </c>
      <c r="K81" s="47">
        <v>77.956891360416364</v>
      </c>
      <c r="L81" s="122"/>
      <c r="M81" s="94">
        <v>24</v>
      </c>
      <c r="N81" s="47">
        <v>32.486802671375649</v>
      </c>
      <c r="O81" s="47">
        <v>38.508930065529043</v>
      </c>
      <c r="P81" s="47">
        <v>44.531057459682508</v>
      </c>
      <c r="Q81" s="47">
        <v>50.55318485383593</v>
      </c>
      <c r="R81" s="47">
        <v>56.575312247989395</v>
      </c>
      <c r="S81" s="47">
        <v>62.597439642142817</v>
      </c>
      <c r="T81" s="47">
        <v>68.61956703629626</v>
      </c>
      <c r="U81" s="47">
        <v>74.641694430449704</v>
      </c>
      <c r="V81" s="47">
        <v>80.663821824603147</v>
      </c>
      <c r="W81" s="122"/>
      <c r="X81" s="94">
        <v>24</v>
      </c>
      <c r="Y81" s="47">
        <v>28.34659008789513</v>
      </c>
      <c r="Z81" s="47">
        <v>34.180526000981246</v>
      </c>
      <c r="AA81" s="47">
        <v>40.014461914067432</v>
      </c>
      <c r="AB81" s="47">
        <v>45.848397827153555</v>
      </c>
      <c r="AC81" s="47">
        <v>51.682333740239692</v>
      </c>
      <c r="AD81" s="47">
        <v>57.516269653325857</v>
      </c>
      <c r="AE81" s="47">
        <v>63.350205566411958</v>
      </c>
      <c r="AF81" s="47">
        <v>69.184141479498123</v>
      </c>
      <c r="AG81" s="47">
        <v>75.01807739258426</v>
      </c>
    </row>
    <row r="82" spans="1:33" x14ac:dyDescent="0.35">
      <c r="A82" s="122"/>
      <c r="B82" s="94">
        <v>23</v>
      </c>
      <c r="C82" s="47">
        <v>36.17570817144906</v>
      </c>
      <c r="D82" s="47">
        <v>42.365513088333095</v>
      </c>
      <c r="E82" s="47">
        <v>48.555318005217131</v>
      </c>
      <c r="F82" s="47">
        <v>54.745122922101189</v>
      </c>
      <c r="G82" s="47">
        <v>60.934927838985246</v>
      </c>
      <c r="H82" s="47">
        <v>67.124732755869275</v>
      </c>
      <c r="I82" s="47">
        <v>73.314537672753318</v>
      </c>
      <c r="J82" s="47">
        <v>79.504342589637389</v>
      </c>
      <c r="K82" s="47">
        <v>85.694147506521418</v>
      </c>
      <c r="L82" s="122"/>
      <c r="M82" s="94">
        <v>23</v>
      </c>
      <c r="N82" s="47">
        <v>38.247098439696316</v>
      </c>
      <c r="O82" s="47">
        <v>44.531057459682486</v>
      </c>
      <c r="P82" s="47">
        <v>50.815016479668664</v>
      </c>
      <c r="Q82" s="47">
        <v>57.098975499654884</v>
      </c>
      <c r="R82" s="47">
        <v>63.382934519641076</v>
      </c>
      <c r="S82" s="47">
        <v>69.666893539627296</v>
      </c>
      <c r="T82" s="47">
        <v>75.950852559613466</v>
      </c>
      <c r="U82" s="47">
        <v>82.234811579599665</v>
      </c>
      <c r="V82" s="47">
        <v>88.518770599585864</v>
      </c>
      <c r="W82" s="122"/>
      <c r="X82" s="94">
        <v>23</v>
      </c>
      <c r="Y82" s="47">
        <v>33.926876613455789</v>
      </c>
      <c r="Z82" s="47">
        <v>40.014461914067411</v>
      </c>
      <c r="AA82" s="47">
        <v>46.102047214679033</v>
      </c>
      <c r="AB82" s="47">
        <v>52.189632515290654</v>
      </c>
      <c r="AC82" s="47">
        <v>58.27721781590229</v>
      </c>
      <c r="AD82" s="47">
        <v>64.364803116513912</v>
      </c>
      <c r="AE82" s="47">
        <v>70.452388417125505</v>
      </c>
      <c r="AF82" s="47">
        <v>76.539973717737126</v>
      </c>
      <c r="AG82" s="47">
        <v>82.627559018348791</v>
      </c>
    </row>
    <row r="83" spans="1:33" x14ac:dyDescent="0.35">
      <c r="C83" s="120">
        <v>2021</v>
      </c>
      <c r="D83" s="120"/>
      <c r="E83" s="120"/>
      <c r="F83" s="120"/>
      <c r="G83" s="120"/>
      <c r="H83" s="120"/>
      <c r="I83" s="120"/>
      <c r="J83" s="120"/>
      <c r="K83" s="120"/>
      <c r="N83" s="120">
        <v>2022</v>
      </c>
      <c r="O83" s="120"/>
      <c r="P83" s="120"/>
      <c r="Q83" s="120"/>
      <c r="R83" s="120"/>
      <c r="S83" s="120"/>
      <c r="T83" s="120"/>
      <c r="U83" s="120"/>
      <c r="V83" s="120"/>
      <c r="Y83" s="120">
        <v>2023</v>
      </c>
      <c r="Z83" s="120"/>
      <c r="AA83" s="120"/>
      <c r="AB83" s="120"/>
      <c r="AC83" s="120"/>
      <c r="AD83" s="120"/>
      <c r="AE83" s="120"/>
      <c r="AF83" s="120"/>
      <c r="AG83" s="120"/>
    </row>
    <row r="85" spans="1:33" x14ac:dyDescent="0.35">
      <c r="C85" s="121" t="s">
        <v>130</v>
      </c>
      <c r="D85" s="121"/>
      <c r="E85" s="121"/>
      <c r="F85" s="121"/>
      <c r="G85" s="121"/>
      <c r="H85" s="121"/>
      <c r="I85" s="121"/>
      <c r="J85" s="121"/>
      <c r="K85" s="121"/>
      <c r="N85" s="121"/>
      <c r="O85" s="121"/>
      <c r="P85" s="121"/>
      <c r="Q85" s="121"/>
      <c r="R85" s="121"/>
      <c r="S85" s="121"/>
      <c r="T85" s="121"/>
      <c r="U85" s="121"/>
      <c r="V85" s="121"/>
      <c r="Y85" s="121"/>
      <c r="Z85" s="121"/>
      <c r="AA85" s="121"/>
      <c r="AB85" s="121"/>
      <c r="AC85" s="121"/>
      <c r="AD85" s="121"/>
      <c r="AE85" s="121"/>
      <c r="AF85" s="121"/>
      <c r="AG85" s="121"/>
    </row>
    <row r="86" spans="1:33" x14ac:dyDescent="0.35">
      <c r="B86" s="93">
        <f>L7</f>
        <v>7.3444208007850342</v>
      </c>
      <c r="C86" s="92">
        <v>2.2000000000000002</v>
      </c>
      <c r="D86" s="92">
        <v>2.2999999999999998</v>
      </c>
      <c r="E86" s="92">
        <v>2.4</v>
      </c>
      <c r="F86" s="92">
        <v>2.5</v>
      </c>
      <c r="G86" s="92">
        <v>2.6</v>
      </c>
      <c r="H86" s="92">
        <v>2.7</v>
      </c>
      <c r="I86" s="92">
        <v>2.8</v>
      </c>
      <c r="J86" s="92">
        <v>2.9</v>
      </c>
      <c r="K86" s="92">
        <v>3</v>
      </c>
      <c r="M86" s="91">
        <f>L8</f>
        <v>8.2101016136945972</v>
      </c>
      <c r="N86" s="92">
        <v>2.2000000000000002</v>
      </c>
      <c r="O86" s="92">
        <v>2.2999999999999998</v>
      </c>
      <c r="P86" s="92">
        <v>2.4</v>
      </c>
      <c r="Q86" s="92">
        <v>2.5</v>
      </c>
      <c r="R86" s="92">
        <v>2.6</v>
      </c>
      <c r="S86" s="92">
        <v>2.7</v>
      </c>
      <c r="T86" s="92">
        <v>2.8</v>
      </c>
      <c r="U86" s="92">
        <v>2.9</v>
      </c>
      <c r="V86" s="92">
        <v>3</v>
      </c>
      <c r="X86" s="91">
        <f>L9</f>
        <v>8.0369654511126996</v>
      </c>
      <c r="Y86" s="92">
        <v>2.2000000000000002</v>
      </c>
      <c r="Z86" s="92">
        <v>2.2999999999999998</v>
      </c>
      <c r="AA86" s="92">
        <v>2.4</v>
      </c>
      <c r="AB86" s="92">
        <v>2.5</v>
      </c>
      <c r="AC86" s="92">
        <v>2.6</v>
      </c>
      <c r="AD86" s="92">
        <v>2.7</v>
      </c>
      <c r="AE86" s="92">
        <v>2.8</v>
      </c>
      <c r="AF86" s="92">
        <v>2.9</v>
      </c>
      <c r="AG86" s="92">
        <v>3</v>
      </c>
    </row>
    <row r="87" spans="1:33" x14ac:dyDescent="0.35">
      <c r="A87" s="122" t="s">
        <v>106</v>
      </c>
      <c r="B87" s="94">
        <v>32</v>
      </c>
      <c r="C87" s="47">
        <f t="dataTable" ref="C87:K96" dt2D="1" dtr="1" r1="C7" r2="D7"/>
        <v>-7.7508883743253598</v>
      </c>
      <c r="D87" s="47">
        <v>-3.5577469367947145</v>
      </c>
      <c r="E87" s="47">
        <v>0.63539450073595294</v>
      </c>
      <c r="F87" s="47">
        <v>4.8285359382666204</v>
      </c>
      <c r="G87" s="47">
        <v>9.0216773757972888</v>
      </c>
      <c r="H87" s="47">
        <v>13.214818813327955</v>
      </c>
      <c r="I87" s="47">
        <v>17.407960250858601</v>
      </c>
      <c r="J87" s="47">
        <v>21.601101688389292</v>
      </c>
      <c r="K87" s="47">
        <v>25.794243125919934</v>
      </c>
      <c r="L87" s="122"/>
      <c r="M87" s="94">
        <v>32</v>
      </c>
      <c r="N87" s="47">
        <f t="dataTable" ref="N87:V96" dt2D="1" dtr="1" r1="C8" r2="D8"/>
        <v>-10.726666168701959</v>
      </c>
      <c r="O87" s="47">
        <v>-6.6687873581884327</v>
      </c>
      <c r="P87" s="47">
        <v>-2.6109085476748728</v>
      </c>
      <c r="Q87" s="47">
        <v>1.4469702628386649</v>
      </c>
      <c r="R87" s="47">
        <v>5.5048490733522248</v>
      </c>
      <c r="S87" s="47">
        <v>9.5627278838657848</v>
      </c>
      <c r="T87" s="47">
        <v>13.620606694379278</v>
      </c>
      <c r="U87" s="47">
        <v>17.678485504892862</v>
      </c>
      <c r="V87" s="47">
        <v>21.736364315406419</v>
      </c>
      <c r="W87" s="122" t="s">
        <v>106</v>
      </c>
      <c r="X87" s="94">
        <v>32</v>
      </c>
      <c r="Y87" s="47">
        <f t="dataTable" ref="Y87:AG96" dt2D="1" dtr="1" r1="C9" r2="D9"/>
        <v>-14.297599521953897</v>
      </c>
      <c r="Z87" s="47">
        <v>-10.402035863860903</v>
      </c>
      <c r="AA87" s="47">
        <v>-6.5064722057678885</v>
      </c>
      <c r="AB87" s="47">
        <v>-2.6109085476748728</v>
      </c>
      <c r="AC87" s="47">
        <v>1.2846551104181314</v>
      </c>
      <c r="AD87" s="47">
        <v>5.1802187685111356</v>
      </c>
      <c r="AE87" s="47">
        <v>9.0757824266041176</v>
      </c>
      <c r="AF87" s="47">
        <v>12.971346084697144</v>
      </c>
      <c r="AG87" s="47">
        <v>16.866909742790128</v>
      </c>
    </row>
    <row r="88" spans="1:33" x14ac:dyDescent="0.35">
      <c r="A88" s="122"/>
      <c r="B88" s="94">
        <v>31</v>
      </c>
      <c r="C88" s="47">
        <v>-4.7751105799487608</v>
      </c>
      <c r="D88" s="47">
        <v>-0.44670651540098527</v>
      </c>
      <c r="E88" s="47">
        <v>3.8816975491468009</v>
      </c>
      <c r="F88" s="47">
        <v>8.2101016136945972</v>
      </c>
      <c r="G88" s="47">
        <v>12.538505678242373</v>
      </c>
      <c r="H88" s="47">
        <v>16.86690974279017</v>
      </c>
      <c r="I88" s="47">
        <v>21.195313807337925</v>
      </c>
      <c r="J88" s="47">
        <v>25.523717871885722</v>
      </c>
      <c r="K88" s="47">
        <v>29.85212193643352</v>
      </c>
      <c r="L88" s="122"/>
      <c r="M88" s="94">
        <v>31</v>
      </c>
      <c r="N88" s="47">
        <v>-7.8468812064020454</v>
      </c>
      <c r="O88" s="47">
        <v>-3.6581030794203162</v>
      </c>
      <c r="P88" s="47">
        <v>0.53067504756141304</v>
      </c>
      <c r="Q88" s="47">
        <v>4.7194531745431423</v>
      </c>
      <c r="R88" s="47">
        <v>8.9082313015248715</v>
      </c>
      <c r="S88" s="47">
        <v>13.097009428506601</v>
      </c>
      <c r="T88" s="47">
        <v>17.285787555488284</v>
      </c>
      <c r="U88" s="47">
        <v>21.474565682470015</v>
      </c>
      <c r="V88" s="47">
        <v>25.663343809451767</v>
      </c>
      <c r="W88" s="122"/>
      <c r="X88" s="94">
        <v>31</v>
      </c>
      <c r="Y88" s="47">
        <v>-11.533005958145948</v>
      </c>
      <c r="Z88" s="47">
        <v>-7.5117789562435195</v>
      </c>
      <c r="AA88" s="47">
        <v>-3.4905519543410479</v>
      </c>
      <c r="AB88" s="47">
        <v>0.53067504756141304</v>
      </c>
      <c r="AC88" s="47">
        <v>4.551902049463874</v>
      </c>
      <c r="AD88" s="47">
        <v>8.573129051366335</v>
      </c>
      <c r="AE88" s="47">
        <v>12.594356053268774</v>
      </c>
      <c r="AF88" s="47">
        <v>16.615583055171214</v>
      </c>
      <c r="AG88" s="47">
        <v>20.636810057073696</v>
      </c>
    </row>
    <row r="89" spans="1:33" x14ac:dyDescent="0.35">
      <c r="A89" s="122"/>
      <c r="B89" s="94">
        <v>30</v>
      </c>
      <c r="C89" s="47">
        <v>-1.600947599280389</v>
      </c>
      <c r="D89" s="47">
        <v>2.871736600752306</v>
      </c>
      <c r="E89" s="47">
        <v>7.344420800785012</v>
      </c>
      <c r="F89" s="47">
        <v>11.817105000817719</v>
      </c>
      <c r="G89" s="47">
        <v>16.289789200850446</v>
      </c>
      <c r="H89" s="47">
        <v>20.762473400883174</v>
      </c>
      <c r="I89" s="47">
        <v>25.235157600915858</v>
      </c>
      <c r="J89" s="47">
        <v>29.707841800948565</v>
      </c>
      <c r="K89" s="47">
        <v>34.180526000981246</v>
      </c>
      <c r="L89" s="122"/>
      <c r="M89" s="94">
        <v>30</v>
      </c>
      <c r="N89" s="47">
        <v>-4.7751105799487492</v>
      </c>
      <c r="O89" s="47">
        <v>-0.44670651540098527</v>
      </c>
      <c r="P89" s="47">
        <v>3.8816975491468009</v>
      </c>
      <c r="Q89" s="47">
        <v>8.2101016136945972</v>
      </c>
      <c r="R89" s="47">
        <v>12.538505678242373</v>
      </c>
      <c r="S89" s="47">
        <v>16.866909742790149</v>
      </c>
      <c r="T89" s="47">
        <v>21.195313807337925</v>
      </c>
      <c r="U89" s="47">
        <v>25.523717871885744</v>
      </c>
      <c r="V89" s="47">
        <v>29.852121936433495</v>
      </c>
      <c r="W89" s="122"/>
      <c r="X89" s="94">
        <v>30</v>
      </c>
      <c r="Y89" s="47">
        <v>-8.5841061567508152</v>
      </c>
      <c r="Z89" s="47">
        <v>-4.4288382547849618</v>
      </c>
      <c r="AA89" s="47">
        <v>-0.27357035281908582</v>
      </c>
      <c r="AB89" s="47">
        <v>3.8816975491468009</v>
      </c>
      <c r="AC89" s="47">
        <v>8.0369654511126765</v>
      </c>
      <c r="AD89" s="47">
        <v>12.192233353078553</v>
      </c>
      <c r="AE89" s="47">
        <v>16.347501255044385</v>
      </c>
      <c r="AF89" s="47">
        <v>20.502769157010281</v>
      </c>
      <c r="AG89" s="47">
        <v>24.658037058976156</v>
      </c>
    </row>
    <row r="90" spans="1:33" x14ac:dyDescent="0.35">
      <c r="A90" s="122"/>
      <c r="B90" s="94">
        <v>29</v>
      </c>
      <c r="C90" s="47">
        <v>1.7921231731581999</v>
      </c>
      <c r="D90" s="47">
        <v>6.4190378628471878</v>
      </c>
      <c r="E90" s="47">
        <v>11.045952552536221</v>
      </c>
      <c r="F90" s="47">
        <v>15.67286724222523</v>
      </c>
      <c r="G90" s="47">
        <v>20.299781931914239</v>
      </c>
      <c r="H90" s="47">
        <v>24.926696621603273</v>
      </c>
      <c r="I90" s="47">
        <v>29.553611311292283</v>
      </c>
      <c r="J90" s="47">
        <v>34.180526000981246</v>
      </c>
      <c r="K90" s="47">
        <v>38.807440690670283</v>
      </c>
      <c r="L90" s="122"/>
      <c r="M90" s="94">
        <v>29</v>
      </c>
      <c r="N90" s="47">
        <v>-1.4914937033952635</v>
      </c>
      <c r="O90" s="47">
        <v>2.9861656737231179</v>
      </c>
      <c r="P90" s="47">
        <v>7.4638250508415327</v>
      </c>
      <c r="Q90" s="47">
        <v>11.941484427959903</v>
      </c>
      <c r="R90" s="47">
        <v>16.419143805078317</v>
      </c>
      <c r="S90" s="47">
        <v>20.89680318219671</v>
      </c>
      <c r="T90" s="47">
        <v>25.374462559315081</v>
      </c>
      <c r="U90" s="47">
        <v>29.852121936433495</v>
      </c>
      <c r="V90" s="47">
        <v>34.329781313551891</v>
      </c>
      <c r="W90" s="122"/>
      <c r="X90" s="94">
        <v>29</v>
      </c>
      <c r="Y90" s="47">
        <v>-5.431833955259469</v>
      </c>
      <c r="Z90" s="47">
        <v>-1.1332809532258237</v>
      </c>
      <c r="AA90" s="47">
        <v>3.1652720488078323</v>
      </c>
      <c r="AB90" s="47">
        <v>7.4638250508415327</v>
      </c>
      <c r="AC90" s="47">
        <v>11.762378052875189</v>
      </c>
      <c r="AD90" s="47">
        <v>16.060931054908846</v>
      </c>
      <c r="AE90" s="47">
        <v>20.359484056942478</v>
      </c>
      <c r="AF90" s="47">
        <v>24.658037058976156</v>
      </c>
      <c r="AG90" s="47">
        <v>28.956590061009813</v>
      </c>
    </row>
    <row r="91" spans="1:33" x14ac:dyDescent="0.35">
      <c r="A91" s="122"/>
      <c r="B91" s="94">
        <v>28</v>
      </c>
      <c r="C91" s="47">
        <v>5.4275561436281539</v>
      </c>
      <c r="D91" s="47">
        <v>10.219717786520333</v>
      </c>
      <c r="E91" s="47">
        <v>15.011879429412534</v>
      </c>
      <c r="F91" s="47">
        <v>19.804041072304734</v>
      </c>
      <c r="G91" s="47">
        <v>24.596202715196934</v>
      </c>
      <c r="H91" s="47">
        <v>29.388364358089092</v>
      </c>
      <c r="I91" s="47">
        <v>34.180526000981274</v>
      </c>
      <c r="J91" s="47">
        <v>38.972687643873471</v>
      </c>
      <c r="K91" s="47">
        <v>43.764849286765653</v>
      </c>
      <c r="L91" s="122"/>
      <c r="M91" s="94">
        <v>28</v>
      </c>
      <c r="N91" s="47">
        <v>2.0266672357692084</v>
      </c>
      <c r="O91" s="47">
        <v>6.6642430192132451</v>
      </c>
      <c r="P91" s="47">
        <v>11.301818802657305</v>
      </c>
      <c r="Q91" s="47">
        <v>15.93939458610134</v>
      </c>
      <c r="R91" s="47">
        <v>20.5769703695454</v>
      </c>
      <c r="S91" s="47">
        <v>25.21454615298946</v>
      </c>
      <c r="T91" s="47">
        <v>29.852121936433495</v>
      </c>
      <c r="U91" s="47">
        <v>34.489697719877555</v>
      </c>
      <c r="V91" s="47">
        <v>39.127273503321632</v>
      </c>
      <c r="W91" s="122"/>
      <c r="X91" s="94">
        <v>28</v>
      </c>
      <c r="Y91" s="47">
        <v>-2.0543994536615928</v>
      </c>
      <c r="Z91" s="47">
        <v>2.3976732984446913</v>
      </c>
      <c r="AA91" s="47">
        <v>6.8497460505509755</v>
      </c>
      <c r="AB91" s="47">
        <v>11.301818802657282</v>
      </c>
      <c r="AC91" s="47">
        <v>15.753891554763566</v>
      </c>
      <c r="AD91" s="47">
        <v>20.205964306869873</v>
      </c>
      <c r="AE91" s="47">
        <v>24.658037058976134</v>
      </c>
      <c r="AF91" s="47">
        <v>29.110109811082442</v>
      </c>
      <c r="AG91" s="47">
        <v>33.562182563188728</v>
      </c>
    </row>
    <row r="92" spans="1:33" x14ac:dyDescent="0.35">
      <c r="A92" s="122"/>
      <c r="B92" s="94">
        <v>27</v>
      </c>
      <c r="C92" s="47">
        <v>9.3322804452440131</v>
      </c>
      <c r="D92" s="47">
        <v>14.301929556391446</v>
      </c>
      <c r="E92" s="47">
        <v>19.271578667538904</v>
      </c>
      <c r="F92" s="47">
        <v>24.24122777868638</v>
      </c>
      <c r="G92" s="47">
        <v>29.210876889833813</v>
      </c>
      <c r="H92" s="47">
        <v>34.180526000981274</v>
      </c>
      <c r="I92" s="47">
        <v>39.150175112128728</v>
      </c>
      <c r="J92" s="47">
        <v>44.119824223276161</v>
      </c>
      <c r="K92" s="47">
        <v>49.089473334423637</v>
      </c>
      <c r="L92" s="122"/>
      <c r="M92" s="94">
        <v>27</v>
      </c>
      <c r="N92" s="47">
        <v>5.8054326889458219</v>
      </c>
      <c r="O92" s="47">
        <v>10.614770538443331</v>
      </c>
      <c r="P92" s="47">
        <v>15.424108387940883</v>
      </c>
      <c r="Q92" s="47">
        <v>20.233446237438436</v>
      </c>
      <c r="R92" s="47">
        <v>25.042784086935967</v>
      </c>
      <c r="S92" s="47">
        <v>29.852121936433495</v>
      </c>
      <c r="T92" s="47">
        <v>34.661459785931029</v>
      </c>
      <c r="U92" s="47">
        <v>39.470797635428553</v>
      </c>
      <c r="V92" s="47">
        <v>44.280135484926106</v>
      </c>
      <c r="W92" s="122"/>
      <c r="X92" s="94">
        <v>27</v>
      </c>
      <c r="Y92" s="47">
        <v>1.5732153813879712</v>
      </c>
      <c r="Z92" s="47">
        <v>6.1901797169056083</v>
      </c>
      <c r="AA92" s="47">
        <v>10.807144052423245</v>
      </c>
      <c r="AB92" s="47">
        <v>15.424108387940905</v>
      </c>
      <c r="AC92" s="47">
        <v>20.04107272345852</v>
      </c>
      <c r="AD92" s="47">
        <v>24.658037058976156</v>
      </c>
      <c r="AE92" s="47">
        <v>29.275001394493771</v>
      </c>
      <c r="AF92" s="47">
        <v>33.891965730011407</v>
      </c>
      <c r="AG92" s="47">
        <v>38.508930065529071</v>
      </c>
    </row>
    <row r="93" spans="1:33" x14ac:dyDescent="0.35">
      <c r="A93" s="122"/>
      <c r="B93" s="94">
        <v>26</v>
      </c>
      <c r="C93" s="47">
        <v>13.537368154676477</v>
      </c>
      <c r="D93" s="47">
        <v>18.698157616252665</v>
      </c>
      <c r="E93" s="47">
        <v>23.858947077828851</v>
      </c>
      <c r="F93" s="47">
        <v>29.019736539405084</v>
      </c>
      <c r="G93" s="47">
        <v>34.180526000981295</v>
      </c>
      <c r="H93" s="47">
        <v>39.341315462557503</v>
      </c>
      <c r="I93" s="47">
        <v>44.50210492413369</v>
      </c>
      <c r="J93" s="47">
        <v>49.662894385709897</v>
      </c>
      <c r="K93" s="47">
        <v>54.823683847286105</v>
      </c>
      <c r="L93" s="122"/>
      <c r="M93" s="94">
        <v>26</v>
      </c>
      <c r="N93" s="47">
        <v>9.8748724077514449</v>
      </c>
      <c r="O93" s="47">
        <v>14.869184789921942</v>
      </c>
      <c r="P93" s="47">
        <v>19.863497172092458</v>
      </c>
      <c r="Q93" s="47">
        <v>24.857809554262978</v>
      </c>
      <c r="R93" s="47">
        <v>29.852121936433495</v>
      </c>
      <c r="S93" s="47">
        <v>34.846434318604061</v>
      </c>
      <c r="T93" s="47">
        <v>39.840746700774531</v>
      </c>
      <c r="U93" s="47">
        <v>44.835059082945072</v>
      </c>
      <c r="V93" s="47">
        <v>49.829371465115571</v>
      </c>
      <c r="W93" s="122"/>
      <c r="X93" s="94">
        <v>26</v>
      </c>
      <c r="Y93" s="47">
        <v>5.4798775114413445</v>
      </c>
      <c r="Z93" s="47">
        <v>10.274417398325063</v>
      </c>
      <c r="AA93" s="47">
        <v>15.068957285208761</v>
      </c>
      <c r="AB93" s="47">
        <v>19.863497172092458</v>
      </c>
      <c r="AC93" s="47">
        <v>24.658037058976156</v>
      </c>
      <c r="AD93" s="47">
        <v>29.452576945859853</v>
      </c>
      <c r="AE93" s="47">
        <v>34.247116832743551</v>
      </c>
      <c r="AF93" s="47">
        <v>39.041656719627227</v>
      </c>
      <c r="AG93" s="47">
        <v>43.836196606510946</v>
      </c>
    </row>
    <row r="94" spans="1:33" x14ac:dyDescent="0.35">
      <c r="A94" s="122"/>
      <c r="B94" s="94">
        <v>25</v>
      </c>
      <c r="C94" s="47">
        <v>18.078862880863532</v>
      </c>
      <c r="D94" s="47">
        <v>23.446083920902751</v>
      </c>
      <c r="E94" s="47">
        <v>28.813304960942009</v>
      </c>
      <c r="F94" s="47">
        <v>34.180526000981246</v>
      </c>
      <c r="G94" s="47">
        <v>39.547747041020529</v>
      </c>
      <c r="H94" s="47">
        <v>44.91496808105979</v>
      </c>
      <c r="I94" s="47">
        <v>50.282189121099009</v>
      </c>
      <c r="J94" s="47">
        <v>55.649410161138292</v>
      </c>
      <c r="K94" s="47">
        <v>61.016631201177503</v>
      </c>
      <c r="L94" s="122"/>
      <c r="M94" s="94">
        <v>25</v>
      </c>
      <c r="N94" s="47">
        <v>14.269867304061478</v>
      </c>
      <c r="O94" s="47">
        <v>19.463952181518817</v>
      </c>
      <c r="P94" s="47">
        <v>24.658037058976156</v>
      </c>
      <c r="Q94" s="47">
        <v>29.852121936433495</v>
      </c>
      <c r="R94" s="47">
        <v>35.046206813890834</v>
      </c>
      <c r="S94" s="47">
        <v>40.240291691348197</v>
      </c>
      <c r="T94" s="47">
        <v>45.434376568805511</v>
      </c>
      <c r="U94" s="47">
        <v>50.628461446262875</v>
      </c>
      <c r="V94" s="47">
        <v>55.822546323720168</v>
      </c>
      <c r="W94" s="122"/>
      <c r="X94" s="94">
        <v>25</v>
      </c>
      <c r="Y94" s="47">
        <v>9.6990726118989947</v>
      </c>
      <c r="Z94" s="47">
        <v>14.685394094258042</v>
      </c>
      <c r="AA94" s="47">
        <v>19.671715576617089</v>
      </c>
      <c r="AB94" s="47">
        <v>24.658037058976134</v>
      </c>
      <c r="AC94" s="47">
        <v>29.644358541335201</v>
      </c>
      <c r="AD94" s="47">
        <v>34.630680023694246</v>
      </c>
      <c r="AE94" s="47">
        <v>39.617001506053299</v>
      </c>
      <c r="AF94" s="47">
        <v>44.603322988412316</v>
      </c>
      <c r="AG94" s="47">
        <v>49.589644470771368</v>
      </c>
    </row>
    <row r="95" spans="1:33" x14ac:dyDescent="0.35">
      <c r="A95" s="122"/>
      <c r="B95" s="94">
        <v>24</v>
      </c>
      <c r="C95" s="47">
        <v>22.998815500899529</v>
      </c>
      <c r="D95" s="47">
        <v>28.589670750940389</v>
      </c>
      <c r="E95" s="47">
        <v>34.180526000981274</v>
      </c>
      <c r="F95" s="47">
        <v>39.771381251022156</v>
      </c>
      <c r="G95" s="47">
        <v>45.362236501063059</v>
      </c>
      <c r="H95" s="47">
        <v>50.953091751103941</v>
      </c>
      <c r="I95" s="47">
        <v>56.543947001144801</v>
      </c>
      <c r="J95" s="47">
        <v>62.134802251185704</v>
      </c>
      <c r="K95" s="47">
        <v>67.725657501226607</v>
      </c>
      <c r="L95" s="122"/>
      <c r="M95" s="94">
        <v>24</v>
      </c>
      <c r="N95" s="47">
        <v>19.031111775064026</v>
      </c>
      <c r="O95" s="47">
        <v>24.441616855748748</v>
      </c>
      <c r="P95" s="47">
        <v>29.852121936433473</v>
      </c>
      <c r="Q95" s="47">
        <v>35.26262701711822</v>
      </c>
      <c r="R95" s="47">
        <v>40.673132097802942</v>
      </c>
      <c r="S95" s="47">
        <v>46.08363717848767</v>
      </c>
      <c r="T95" s="47">
        <v>51.494142259172392</v>
      </c>
      <c r="U95" s="47">
        <v>56.904647339857142</v>
      </c>
      <c r="V95" s="47">
        <v>62.315152420541864</v>
      </c>
      <c r="W95" s="122"/>
      <c r="X95" s="94">
        <v>24</v>
      </c>
      <c r="Y95" s="47">
        <v>14.269867304061457</v>
      </c>
      <c r="Z95" s="47">
        <v>19.463952181518795</v>
      </c>
      <c r="AA95" s="47">
        <v>24.658037058976134</v>
      </c>
      <c r="AB95" s="47">
        <v>29.852121936433473</v>
      </c>
      <c r="AC95" s="47">
        <v>35.046206813890812</v>
      </c>
      <c r="AD95" s="47">
        <v>40.240291691348176</v>
      </c>
      <c r="AE95" s="47">
        <v>45.43437656880549</v>
      </c>
      <c r="AF95" s="47">
        <v>50.628461446262804</v>
      </c>
      <c r="AG95" s="47">
        <v>55.822546323720168</v>
      </c>
    </row>
    <row r="96" spans="1:33" x14ac:dyDescent="0.35">
      <c r="A96" s="122"/>
      <c r="B96" s="94">
        <v>23</v>
      </c>
      <c r="C96" s="47">
        <v>28.346590087895152</v>
      </c>
      <c r="D96" s="47">
        <v>34.180526000981246</v>
      </c>
      <c r="E96" s="47">
        <v>40.014461914067411</v>
      </c>
      <c r="F96" s="47">
        <v>45.848397827153555</v>
      </c>
      <c r="G96" s="47">
        <v>51.682333740239692</v>
      </c>
      <c r="H96" s="47">
        <v>57.516269653325857</v>
      </c>
      <c r="I96" s="47">
        <v>63.350205566411958</v>
      </c>
      <c r="J96" s="47">
        <v>69.184141479498123</v>
      </c>
      <c r="K96" s="47">
        <v>75.01807739258426</v>
      </c>
      <c r="L96" s="122"/>
      <c r="M96" s="94">
        <v>23</v>
      </c>
      <c r="N96" s="47">
        <v>24.206377504414679</v>
      </c>
      <c r="O96" s="47">
        <v>29.852121936433473</v>
      </c>
      <c r="P96" s="47">
        <v>35.497866368452335</v>
      </c>
      <c r="Q96" s="47">
        <v>41.143610800471194</v>
      </c>
      <c r="R96" s="47">
        <v>46.789355232490038</v>
      </c>
      <c r="S96" s="47">
        <v>52.435099664508897</v>
      </c>
      <c r="T96" s="47">
        <v>58.080844096527741</v>
      </c>
      <c r="U96" s="47">
        <v>63.726588528546579</v>
      </c>
      <c r="V96" s="47">
        <v>69.372332960565416</v>
      </c>
      <c r="W96" s="122"/>
      <c r="X96" s="94">
        <v>23</v>
      </c>
      <c r="Y96" s="47">
        <v>19.238122404238055</v>
      </c>
      <c r="Z96" s="47">
        <v>24.658037058976134</v>
      </c>
      <c r="AA96" s="47">
        <v>30.077951713714235</v>
      </c>
      <c r="AB96" s="47">
        <v>35.497866368452314</v>
      </c>
      <c r="AC96" s="47">
        <v>40.917781023190415</v>
      </c>
      <c r="AD96" s="47">
        <v>46.337695677928515</v>
      </c>
      <c r="AE96" s="47">
        <v>51.757610332666594</v>
      </c>
      <c r="AF96" s="47">
        <v>57.177524987404695</v>
      </c>
      <c r="AG96" s="47">
        <v>62.597439642142795</v>
      </c>
    </row>
    <row r="97" spans="1:33" x14ac:dyDescent="0.35">
      <c r="C97" s="120">
        <v>2024</v>
      </c>
      <c r="D97" s="120"/>
      <c r="E97" s="120"/>
      <c r="F97" s="120"/>
      <c r="G97" s="120"/>
      <c r="H97" s="120"/>
      <c r="I97" s="120"/>
      <c r="J97" s="120"/>
      <c r="K97" s="120"/>
      <c r="N97" s="120">
        <v>2025</v>
      </c>
      <c r="O97" s="120"/>
      <c r="P97" s="120"/>
      <c r="Q97" s="120"/>
      <c r="R97" s="120"/>
      <c r="S97" s="120"/>
      <c r="T97" s="120"/>
      <c r="U97" s="120"/>
      <c r="V97" s="120"/>
      <c r="Y97" s="120">
        <v>2026</v>
      </c>
      <c r="Z97" s="120"/>
      <c r="AA97" s="120"/>
      <c r="AB97" s="120"/>
      <c r="AC97" s="120"/>
      <c r="AD97" s="120"/>
      <c r="AE97" s="120"/>
      <c r="AF97" s="120"/>
      <c r="AG97" s="120"/>
    </row>
    <row r="98" spans="1:33" x14ac:dyDescent="0.35">
      <c r="C98" s="44"/>
      <c r="D98" s="44"/>
      <c r="E98" s="44"/>
      <c r="F98" s="44"/>
      <c r="G98" s="44"/>
      <c r="H98" s="44"/>
      <c r="I98" s="44"/>
      <c r="J98" s="44"/>
      <c r="K98" s="44"/>
      <c r="N98" s="44"/>
      <c r="O98" s="44"/>
      <c r="P98" s="44"/>
      <c r="Q98" s="44"/>
      <c r="R98" s="44"/>
      <c r="S98" s="44"/>
      <c r="T98" s="44"/>
      <c r="U98" s="44"/>
      <c r="V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35">
      <c r="C99" s="121" t="s">
        <v>130</v>
      </c>
      <c r="D99" s="121"/>
      <c r="E99" s="121"/>
      <c r="F99" s="121"/>
      <c r="G99" s="121"/>
      <c r="H99" s="121"/>
      <c r="I99" s="121"/>
      <c r="J99" s="121"/>
      <c r="K99" s="121"/>
      <c r="N99" s="121"/>
      <c r="O99" s="121"/>
      <c r="P99" s="121"/>
      <c r="Q99" s="121"/>
      <c r="R99" s="121"/>
      <c r="S99" s="121"/>
      <c r="T99" s="121"/>
      <c r="U99" s="121"/>
      <c r="V99" s="121"/>
      <c r="Y99" s="121"/>
      <c r="Z99" s="121"/>
      <c r="AA99" s="121"/>
      <c r="AB99" s="121"/>
      <c r="AC99" s="121"/>
      <c r="AD99" s="121"/>
      <c r="AE99" s="121"/>
      <c r="AF99" s="121"/>
      <c r="AG99" s="121"/>
    </row>
    <row r="100" spans="1:33" x14ac:dyDescent="0.35">
      <c r="B100" s="93">
        <f>L10</f>
        <v>7.8771474548832154</v>
      </c>
      <c r="C100" s="92">
        <v>2.2000000000000002</v>
      </c>
      <c r="D100" s="92">
        <v>2.2999999999999998</v>
      </c>
      <c r="E100" s="92">
        <v>2.4</v>
      </c>
      <c r="F100" s="92">
        <v>2.5</v>
      </c>
      <c r="G100" s="92">
        <v>2.6</v>
      </c>
      <c r="H100" s="92">
        <v>2.7</v>
      </c>
      <c r="I100" s="92">
        <v>2.8</v>
      </c>
      <c r="J100" s="92">
        <v>2.9</v>
      </c>
      <c r="K100" s="92">
        <v>3</v>
      </c>
      <c r="M100" s="91">
        <f>L11</f>
        <v>7.4638250508415105</v>
      </c>
      <c r="N100" s="92">
        <v>2.2000000000000002</v>
      </c>
      <c r="O100" s="92">
        <v>2.2999999999999998</v>
      </c>
      <c r="P100" s="92">
        <v>2.4</v>
      </c>
      <c r="Q100" s="92">
        <v>2.5</v>
      </c>
      <c r="R100" s="92">
        <v>2.6</v>
      </c>
      <c r="S100" s="92">
        <v>2.7</v>
      </c>
      <c r="T100" s="92">
        <v>2.8</v>
      </c>
      <c r="U100" s="92">
        <v>2.9</v>
      </c>
      <c r="V100" s="92">
        <v>3</v>
      </c>
      <c r="X100" s="91">
        <f>L12</f>
        <v>11.576638108342884</v>
      </c>
      <c r="Y100" s="92">
        <v>2.2000000000000002</v>
      </c>
      <c r="Z100" s="92">
        <v>2.2999999999999998</v>
      </c>
      <c r="AA100" s="92">
        <v>2.4</v>
      </c>
      <c r="AB100" s="92">
        <v>2.5</v>
      </c>
      <c r="AC100" s="92">
        <v>2.6</v>
      </c>
      <c r="AD100" s="92">
        <v>2.7</v>
      </c>
      <c r="AE100" s="92">
        <v>2.8</v>
      </c>
      <c r="AF100" s="92">
        <v>2.9</v>
      </c>
      <c r="AG100" s="92">
        <v>3</v>
      </c>
    </row>
    <row r="101" spans="1:33" x14ac:dyDescent="0.35">
      <c r="A101" s="122" t="s">
        <v>106</v>
      </c>
      <c r="B101" s="94">
        <v>32</v>
      </c>
      <c r="C101" s="47">
        <f t="dataTable" ref="C101:K110" dt2D="1" dtr="1" r1="C10" r2="D10"/>
        <v>-17.593845694186449</v>
      </c>
      <c r="D101" s="47">
        <v>-13.848111407558573</v>
      </c>
      <c r="E101" s="47">
        <v>-10.102377120930683</v>
      </c>
      <c r="F101" s="47">
        <v>-6.3566428343027948</v>
      </c>
      <c r="G101" s="47">
        <v>-2.610908547674895</v>
      </c>
      <c r="H101" s="47">
        <v>1.1348257389530048</v>
      </c>
      <c r="I101" s="47">
        <v>4.8805600255808601</v>
      </c>
      <c r="J101" s="47">
        <v>8.6262943122087599</v>
      </c>
      <c r="K101" s="47">
        <v>12.372028598836637</v>
      </c>
      <c r="L101" s="122"/>
      <c r="M101" s="94">
        <v>32</v>
      </c>
      <c r="N101" s="47">
        <f t="dataTable" ref="N101:V110" dt2D="1" dtr="1" r1="C11" r2="D11"/>
        <v>-20.64592548329065</v>
      </c>
      <c r="O101" s="47">
        <v>-17.038922096167507</v>
      </c>
      <c r="P101" s="47">
        <v>-13.431918709044355</v>
      </c>
      <c r="Q101" s="47">
        <v>-9.8249153219211909</v>
      </c>
      <c r="R101" s="47">
        <v>-6.2179119347980372</v>
      </c>
      <c r="S101" s="47">
        <v>-2.610908547674895</v>
      </c>
      <c r="T101" s="47">
        <v>0.99609483944824717</v>
      </c>
      <c r="U101" s="47">
        <v>4.6030982265714115</v>
      </c>
      <c r="V101" s="47">
        <v>8.2101016136945759</v>
      </c>
      <c r="W101" s="122" t="s">
        <v>106</v>
      </c>
      <c r="X101" s="94">
        <v>32</v>
      </c>
      <c r="Y101" s="47">
        <f t="dataTable" ref="Y101:AG110" dt2D="1" dtr="1" r1="C12" r2="D12"/>
        <v>-23.291061300514293</v>
      </c>
      <c r="Z101" s="47">
        <v>-19.804291359628579</v>
      </c>
      <c r="AA101" s="47">
        <v>-16.317521418742864</v>
      </c>
      <c r="AB101" s="47">
        <v>-12.830751477857149</v>
      </c>
      <c r="AC101" s="47">
        <v>-9.3439815369714356</v>
      </c>
      <c r="AD101" s="47">
        <v>-5.8572115960856985</v>
      </c>
      <c r="AE101" s="47">
        <v>-2.3704416551999952</v>
      </c>
      <c r="AF101" s="47">
        <v>1.1163282856857082</v>
      </c>
      <c r="AG101" s="47">
        <v>4.6030982265714337</v>
      </c>
    </row>
    <row r="102" spans="1:33" x14ac:dyDescent="0.35">
      <c r="A102" s="122"/>
      <c r="B102" s="94">
        <v>31</v>
      </c>
      <c r="C102" s="47">
        <v>-14.935582652063427</v>
      </c>
      <c r="D102" s="47">
        <v>-11.069018227157246</v>
      </c>
      <c r="E102" s="47">
        <v>-7.2024538022510303</v>
      </c>
      <c r="F102" s="47">
        <v>-3.3358893773448139</v>
      </c>
      <c r="G102" s="47">
        <v>0.53067504756136863</v>
      </c>
      <c r="H102" s="47">
        <v>4.3972394724675956</v>
      </c>
      <c r="I102" s="47">
        <v>8.2638038973737782</v>
      </c>
      <c r="J102" s="47">
        <v>12.130368322280006</v>
      </c>
      <c r="K102" s="47">
        <v>15.996932747186232</v>
      </c>
      <c r="L102" s="122"/>
      <c r="M102" s="94">
        <v>31</v>
      </c>
      <c r="N102" s="47">
        <v>-18.086116627912919</v>
      </c>
      <c r="O102" s="47">
        <v>-14.362758292818068</v>
      </c>
      <c r="P102" s="47">
        <v>-10.639399957723207</v>
      </c>
      <c r="Q102" s="47">
        <v>-6.9160416226283328</v>
      </c>
      <c r="R102" s="47">
        <v>-3.1926832875334488</v>
      </c>
      <c r="S102" s="47">
        <v>0.53067504756143524</v>
      </c>
      <c r="T102" s="47">
        <v>4.2540333826562637</v>
      </c>
      <c r="U102" s="47">
        <v>7.9773917177511366</v>
      </c>
      <c r="V102" s="47">
        <v>11.70075005284601</v>
      </c>
      <c r="W102" s="122"/>
      <c r="X102" s="94">
        <v>31</v>
      </c>
      <c r="Y102" s="47">
        <v>-20.816579406982484</v>
      </c>
      <c r="Z102" s="47">
        <v>-17.217333016390789</v>
      </c>
      <c r="AA102" s="47">
        <v>-13.618086625799075</v>
      </c>
      <c r="AB102" s="47">
        <v>-10.018840235207371</v>
      </c>
      <c r="AC102" s="47">
        <v>-6.4195938446156458</v>
      </c>
      <c r="AD102" s="47">
        <v>-2.8203474540239415</v>
      </c>
      <c r="AE102" s="47">
        <v>0.77889893656775122</v>
      </c>
      <c r="AF102" s="47">
        <v>4.378145327159455</v>
      </c>
      <c r="AG102" s="47">
        <v>7.9773917177511589</v>
      </c>
    </row>
    <row r="103" spans="1:33" x14ac:dyDescent="0.35">
      <c r="A103" s="122"/>
      <c r="B103" s="94">
        <v>30</v>
      </c>
      <c r="C103" s="47">
        <v>-12.100102073798869</v>
      </c>
      <c r="D103" s="47">
        <v>-8.1046521680624757</v>
      </c>
      <c r="E103" s="47">
        <v>-4.1092022623260505</v>
      </c>
      <c r="F103" s="47">
        <v>-0.113752356589647</v>
      </c>
      <c r="G103" s="47">
        <v>3.8816975491467787</v>
      </c>
      <c r="H103" s="47">
        <v>7.8771474548831932</v>
      </c>
      <c r="I103" s="47">
        <v>11.872597360619608</v>
      </c>
      <c r="J103" s="47">
        <v>15.868047266356001</v>
      </c>
      <c r="K103" s="47">
        <v>19.863497172092437</v>
      </c>
      <c r="L103" s="122"/>
      <c r="M103" s="94">
        <v>30</v>
      </c>
      <c r="N103" s="47">
        <v>-15.355653848843364</v>
      </c>
      <c r="O103" s="47">
        <v>-11.508183569245345</v>
      </c>
      <c r="P103" s="47">
        <v>-7.6607132896473136</v>
      </c>
      <c r="Q103" s="47">
        <v>-3.8132430100492831</v>
      </c>
      <c r="R103" s="47">
        <v>3.4227269548736672E-2</v>
      </c>
      <c r="S103" s="47">
        <v>3.8816975491467787</v>
      </c>
      <c r="T103" s="47">
        <v>7.7291678287448207</v>
      </c>
      <c r="U103" s="47">
        <v>11.576638108342841</v>
      </c>
      <c r="V103" s="47">
        <v>15.424108387940883</v>
      </c>
      <c r="W103" s="122"/>
      <c r="X103" s="94">
        <v>30</v>
      </c>
      <c r="Y103" s="47">
        <v>-18.177132053881895</v>
      </c>
      <c r="Z103" s="47">
        <v>-14.457910783603822</v>
      </c>
      <c r="AA103" s="47">
        <v>-10.738689513325728</v>
      </c>
      <c r="AB103" s="47">
        <v>-7.0194682430476218</v>
      </c>
      <c r="AC103" s="47">
        <v>-3.3002469727695161</v>
      </c>
      <c r="AD103" s="47">
        <v>0.41897429750858972</v>
      </c>
      <c r="AE103" s="47">
        <v>4.1381955677866511</v>
      </c>
      <c r="AF103" s="47">
        <v>7.8574168380647569</v>
      </c>
      <c r="AG103" s="47">
        <v>11.576638108342863</v>
      </c>
    </row>
    <row r="104" spans="1:33" x14ac:dyDescent="0.35">
      <c r="A104" s="122"/>
      <c r="B104" s="94">
        <v>29</v>
      </c>
      <c r="C104" s="47">
        <v>-9.069071110826421</v>
      </c>
      <c r="D104" s="47">
        <v>-4.9358470704094604</v>
      </c>
      <c r="E104" s="47">
        <v>-0.80262302999247748</v>
      </c>
      <c r="F104" s="47">
        <v>3.3306010104245054</v>
      </c>
      <c r="G104" s="47">
        <v>7.4638250508415105</v>
      </c>
      <c r="H104" s="47">
        <v>11.597049091258471</v>
      </c>
      <c r="I104" s="47">
        <v>15.730273131675453</v>
      </c>
      <c r="J104" s="47">
        <v>19.863497172092437</v>
      </c>
      <c r="K104" s="47">
        <v>23.996721212509399</v>
      </c>
      <c r="L104" s="122"/>
      <c r="M104" s="94">
        <v>29</v>
      </c>
      <c r="N104" s="47">
        <v>-12.43688329190692</v>
      </c>
      <c r="O104" s="47">
        <v>-8.4567416233572565</v>
      </c>
      <c r="P104" s="47">
        <v>-4.4765999548075701</v>
      </c>
      <c r="Q104" s="47">
        <v>-0.49645828625787258</v>
      </c>
      <c r="R104" s="47">
        <v>3.4836833822918134</v>
      </c>
      <c r="S104" s="47">
        <v>7.4638250508415105</v>
      </c>
      <c r="T104" s="47">
        <v>11.443966719391184</v>
      </c>
      <c r="U104" s="47">
        <v>15.424108387940883</v>
      </c>
      <c r="V104" s="47">
        <v>19.404250056490536</v>
      </c>
      <c r="W104" s="122"/>
      <c r="X104" s="94">
        <v>29</v>
      </c>
      <c r="Y104" s="47">
        <v>-15.355653848843353</v>
      </c>
      <c r="Z104" s="47">
        <v>-11.508183569245334</v>
      </c>
      <c r="AA104" s="47">
        <v>-7.6607132896473029</v>
      </c>
      <c r="AB104" s="47">
        <v>-3.8132430100492609</v>
      </c>
      <c r="AC104" s="47">
        <v>3.4227269548758876E-2</v>
      </c>
      <c r="AD104" s="47">
        <v>3.8816975491468009</v>
      </c>
      <c r="AE104" s="47">
        <v>7.7291678287448207</v>
      </c>
      <c r="AF104" s="47">
        <v>11.576638108342841</v>
      </c>
      <c r="AG104" s="47">
        <v>15.424108387940883</v>
      </c>
    </row>
    <row r="105" spans="1:33" x14ac:dyDescent="0.35">
      <c r="A105" s="122"/>
      <c r="B105" s="94">
        <v>28</v>
      </c>
      <c r="C105" s="47">
        <v>-5.8215379362130832</v>
      </c>
      <c r="D105" s="47">
        <v>-1.5406987514955173</v>
      </c>
      <c r="E105" s="47">
        <v>2.7401404332220825</v>
      </c>
      <c r="F105" s="47">
        <v>7.0209796179396822</v>
      </c>
      <c r="G105" s="47">
        <v>11.301818802657259</v>
      </c>
      <c r="H105" s="47">
        <v>15.582657987374859</v>
      </c>
      <c r="I105" s="47">
        <v>19.863497172092416</v>
      </c>
      <c r="J105" s="47">
        <v>24.144336356810015</v>
      </c>
      <c r="K105" s="47">
        <v>28.425175541527615</v>
      </c>
      <c r="L105" s="122"/>
      <c r="M105" s="94">
        <v>28</v>
      </c>
      <c r="N105" s="47">
        <v>-9.3096291237607325</v>
      </c>
      <c r="O105" s="47">
        <v>-5.1873395384771541</v>
      </c>
      <c r="P105" s="47">
        <v>-1.065049953193542</v>
      </c>
      <c r="Q105" s="47">
        <v>3.0572396320900586</v>
      </c>
      <c r="R105" s="47">
        <v>7.1795292173736813</v>
      </c>
      <c r="S105" s="47">
        <v>11.301818802657282</v>
      </c>
      <c r="T105" s="47">
        <v>15.424108387940883</v>
      </c>
      <c r="U105" s="47">
        <v>19.546397973224483</v>
      </c>
      <c r="V105" s="47">
        <v>23.668687558508104</v>
      </c>
      <c r="W105" s="122"/>
      <c r="X105" s="94">
        <v>28</v>
      </c>
      <c r="Y105" s="47">
        <v>-12.332641486302032</v>
      </c>
      <c r="Z105" s="47">
        <v>-8.3477615538612326</v>
      </c>
      <c r="AA105" s="47">
        <v>-4.3628816214204225</v>
      </c>
      <c r="AB105" s="47">
        <v>-0.37800168897960118</v>
      </c>
      <c r="AC105" s="47">
        <v>3.6068782434612201</v>
      </c>
      <c r="AD105" s="47">
        <v>7.5917581759020525</v>
      </c>
      <c r="AE105" s="47">
        <v>11.576638108342841</v>
      </c>
      <c r="AF105" s="47">
        <v>15.561518040783673</v>
      </c>
      <c r="AG105" s="47">
        <v>19.546397973224483</v>
      </c>
    </row>
    <row r="106" spans="1:33" x14ac:dyDescent="0.35">
      <c r="A106" s="122"/>
      <c r="B106" s="94">
        <v>27</v>
      </c>
      <c r="C106" s="47">
        <v>-2.3334467486654131</v>
      </c>
      <c r="D106" s="47">
        <v>2.1059420354861524</v>
      </c>
      <c r="E106" s="47">
        <v>6.5453308196377069</v>
      </c>
      <c r="F106" s="47">
        <v>10.984719603789262</v>
      </c>
      <c r="G106" s="47">
        <v>15.42410838794086</v>
      </c>
      <c r="H106" s="47">
        <v>19.863497172092437</v>
      </c>
      <c r="I106" s="47">
        <v>24.302885956243991</v>
      </c>
      <c r="J106" s="47">
        <v>28.742274740395569</v>
      </c>
      <c r="K106" s="47">
        <v>33.181663524547147</v>
      </c>
      <c r="L106" s="122"/>
      <c r="M106" s="94">
        <v>27</v>
      </c>
      <c r="N106" s="47">
        <v>-5.9507264987148423</v>
      </c>
      <c r="O106" s="47">
        <v>-1.6757595213837129</v>
      </c>
      <c r="P106" s="47">
        <v>2.5992074559474165</v>
      </c>
      <c r="Q106" s="47">
        <v>6.8741744332785792</v>
      </c>
      <c r="R106" s="47">
        <v>11.149141410609719</v>
      </c>
      <c r="S106" s="47">
        <v>15.424108387940883</v>
      </c>
      <c r="T106" s="47">
        <v>19.699075365272002</v>
      </c>
      <c r="U106" s="47">
        <v>23.974042342603141</v>
      </c>
      <c r="V106" s="47">
        <v>28.249009319934281</v>
      </c>
      <c r="W106" s="122"/>
      <c r="X106" s="94">
        <v>27</v>
      </c>
      <c r="Y106" s="47">
        <v>-9.0857022820910132</v>
      </c>
      <c r="Z106" s="47">
        <v>-4.9532342040042421</v>
      </c>
      <c r="AA106" s="47">
        <v>-0.82076612591747145</v>
      </c>
      <c r="AB106" s="47">
        <v>3.3117019521692992</v>
      </c>
      <c r="AC106" s="47">
        <v>7.4441700302560809</v>
      </c>
      <c r="AD106" s="47">
        <v>11.576638108342863</v>
      </c>
      <c r="AE106" s="47">
        <v>15.709106186429622</v>
      </c>
      <c r="AF106" s="47">
        <v>19.841574264516382</v>
      </c>
      <c r="AG106" s="47">
        <v>23.974042342603141</v>
      </c>
    </row>
    <row r="107" spans="1:33" x14ac:dyDescent="0.35">
      <c r="A107" s="122"/>
      <c r="B107" s="94">
        <v>26</v>
      </c>
      <c r="C107" s="47">
        <v>1.4229591456166757</v>
      </c>
      <c r="D107" s="47">
        <v>6.0330936522356104</v>
      </c>
      <c r="E107" s="47">
        <v>10.643228158854544</v>
      </c>
      <c r="F107" s="47">
        <v>15.25336266547348</v>
      </c>
      <c r="G107" s="47">
        <v>19.863497172092437</v>
      </c>
      <c r="H107" s="47">
        <v>24.473631678711392</v>
      </c>
      <c r="I107" s="47">
        <v>29.083766185330283</v>
      </c>
      <c r="J107" s="47">
        <v>33.693900691949239</v>
      </c>
      <c r="K107" s="47">
        <v>38.304035198568172</v>
      </c>
      <c r="L107" s="122"/>
      <c r="M107" s="94">
        <v>26</v>
      </c>
      <c r="N107" s="47">
        <v>-2.3334467486654131</v>
      </c>
      <c r="O107" s="47">
        <v>2.1059420354861524</v>
      </c>
      <c r="P107" s="47">
        <v>6.5453308196377069</v>
      </c>
      <c r="Q107" s="47">
        <v>10.984719603789305</v>
      </c>
      <c r="R107" s="47">
        <v>15.424108387940883</v>
      </c>
      <c r="S107" s="47">
        <v>19.863497172092437</v>
      </c>
      <c r="T107" s="47">
        <v>24.302885956244012</v>
      </c>
      <c r="U107" s="47">
        <v>28.74227474039559</v>
      </c>
      <c r="V107" s="47">
        <v>33.181663524547169</v>
      </c>
      <c r="W107" s="122"/>
      <c r="X107" s="94">
        <v>26</v>
      </c>
      <c r="Y107" s="47">
        <v>-5.5889985237098756</v>
      </c>
      <c r="Z107" s="47">
        <v>-1.2975893656967052</v>
      </c>
      <c r="AA107" s="47">
        <v>2.9938197923164767</v>
      </c>
      <c r="AB107" s="47">
        <v>7.2852289503296586</v>
      </c>
      <c r="AC107" s="47">
        <v>11.576638108342863</v>
      </c>
      <c r="AD107" s="47">
        <v>15.868047266356044</v>
      </c>
      <c r="AE107" s="47">
        <v>20.159456424369225</v>
      </c>
      <c r="AF107" s="47">
        <v>24.450865582382409</v>
      </c>
      <c r="AG107" s="47">
        <v>28.74227474039559</v>
      </c>
    </row>
    <row r="108" spans="1:33" x14ac:dyDescent="0.35">
      <c r="A108" s="122"/>
      <c r="B108" s="94">
        <v>25</v>
      </c>
      <c r="C108" s="47">
        <v>5.4798775114413445</v>
      </c>
      <c r="D108" s="47">
        <v>10.274417398325021</v>
      </c>
      <c r="E108" s="47">
        <v>15.068957285208739</v>
      </c>
      <c r="F108" s="47">
        <v>19.863497172092437</v>
      </c>
      <c r="G108" s="47">
        <v>24.658037058976134</v>
      </c>
      <c r="H108" s="47">
        <v>29.452576945859832</v>
      </c>
      <c r="I108" s="47">
        <v>34.247116832743508</v>
      </c>
      <c r="J108" s="47">
        <v>39.041656719627206</v>
      </c>
      <c r="K108" s="47">
        <v>43.836196606510924</v>
      </c>
      <c r="L108" s="122"/>
      <c r="M108" s="94">
        <v>25</v>
      </c>
      <c r="N108" s="47">
        <v>1.5732153813879712</v>
      </c>
      <c r="O108" s="47">
        <v>6.1901797169055861</v>
      </c>
      <c r="P108" s="47">
        <v>10.807144052423201</v>
      </c>
      <c r="Q108" s="47">
        <v>15.424108387940883</v>
      </c>
      <c r="R108" s="47">
        <v>20.041072723458498</v>
      </c>
      <c r="S108" s="47">
        <v>24.658037058976134</v>
      </c>
      <c r="T108" s="47">
        <v>29.275001394493749</v>
      </c>
      <c r="U108" s="47">
        <v>33.891965730011385</v>
      </c>
      <c r="V108" s="47">
        <v>38.508930065529022</v>
      </c>
      <c r="W108" s="122"/>
      <c r="X108" s="94">
        <v>25</v>
      </c>
      <c r="Y108" s="47">
        <v>-1.8125584646582871</v>
      </c>
      <c r="Z108" s="47">
        <v>2.6505070596753999</v>
      </c>
      <c r="AA108" s="47">
        <v>7.1135725840091313</v>
      </c>
      <c r="AB108" s="47">
        <v>11.576638108342841</v>
      </c>
      <c r="AC108" s="47">
        <v>16.039703632676549</v>
      </c>
      <c r="AD108" s="47">
        <v>20.502769157010302</v>
      </c>
      <c r="AE108" s="47">
        <v>24.965834681343967</v>
      </c>
      <c r="AF108" s="47">
        <v>29.428900205677699</v>
      </c>
      <c r="AG108" s="47">
        <v>33.891965730011407</v>
      </c>
    </row>
    <row r="109" spans="1:33" x14ac:dyDescent="0.35">
      <c r="A109" s="122"/>
      <c r="B109" s="94">
        <v>24</v>
      </c>
      <c r="C109" s="47">
        <v>9.8748724077514005</v>
      </c>
      <c r="D109" s="47">
        <v>14.869184789921896</v>
      </c>
      <c r="E109" s="47">
        <v>19.863497172092416</v>
      </c>
      <c r="F109" s="47">
        <v>24.857809554262932</v>
      </c>
      <c r="G109" s="47">
        <v>29.852121936433473</v>
      </c>
      <c r="H109" s="47">
        <v>34.846434318603968</v>
      </c>
      <c r="I109" s="47">
        <v>39.840746700774488</v>
      </c>
      <c r="J109" s="47">
        <v>44.83505908294498</v>
      </c>
      <c r="K109" s="47">
        <v>49.829371465115521</v>
      </c>
      <c r="L109" s="122"/>
      <c r="M109" s="94">
        <v>24</v>
      </c>
      <c r="N109" s="47">
        <v>5.8054326889458219</v>
      </c>
      <c r="O109" s="47">
        <v>10.614770538443331</v>
      </c>
      <c r="P109" s="47">
        <v>15.42410838794086</v>
      </c>
      <c r="Q109" s="47">
        <v>20.233446237438415</v>
      </c>
      <c r="R109" s="47">
        <v>25.042784086935942</v>
      </c>
      <c r="S109" s="47">
        <v>29.852121936433473</v>
      </c>
      <c r="T109" s="47">
        <v>34.661459785931001</v>
      </c>
      <c r="U109" s="47">
        <v>39.470797635428532</v>
      </c>
      <c r="V109" s="47">
        <v>44.280135484926063</v>
      </c>
      <c r="W109" s="122"/>
      <c r="X109" s="94">
        <v>24</v>
      </c>
      <c r="Y109" s="47">
        <v>2.2785849326476093</v>
      </c>
      <c r="Z109" s="47">
        <v>6.927611520495236</v>
      </c>
      <c r="AA109" s="47">
        <v>11.576638108342841</v>
      </c>
      <c r="AB109" s="47">
        <v>16.225664696190488</v>
      </c>
      <c r="AC109" s="47">
        <v>20.874691284038093</v>
      </c>
      <c r="AD109" s="47">
        <v>25.523717871885744</v>
      </c>
      <c r="AE109" s="47">
        <v>30.172744459733323</v>
      </c>
      <c r="AF109" s="47">
        <v>34.821771047580953</v>
      </c>
      <c r="AG109" s="47">
        <v>39.470797635428582</v>
      </c>
    </row>
    <row r="110" spans="1:33" x14ac:dyDescent="0.35">
      <c r="A110" s="122"/>
      <c r="B110" s="94">
        <v>23</v>
      </c>
      <c r="C110" s="47">
        <v>14.652040773305842</v>
      </c>
      <c r="D110" s="47">
        <v>19.863497172092437</v>
      </c>
      <c r="E110" s="47">
        <v>25.074953570879053</v>
      </c>
      <c r="F110" s="47">
        <v>30.286409969665694</v>
      </c>
      <c r="G110" s="47">
        <v>35.497866368452335</v>
      </c>
      <c r="H110" s="47">
        <v>40.709322767238952</v>
      </c>
      <c r="I110" s="47">
        <v>45.920779166025568</v>
      </c>
      <c r="J110" s="47">
        <v>51.132235564812191</v>
      </c>
      <c r="K110" s="47">
        <v>56.343691963598829</v>
      </c>
      <c r="L110" s="122"/>
      <c r="M110" s="94">
        <v>23</v>
      </c>
      <c r="N110" s="47">
        <v>10.405668892813026</v>
      </c>
      <c r="O110" s="47">
        <v>15.424108387940883</v>
      </c>
      <c r="P110" s="47">
        <v>20.44254788306872</v>
      </c>
      <c r="Q110" s="47">
        <v>25.460987378196599</v>
      </c>
      <c r="R110" s="47">
        <v>30.479426873324456</v>
      </c>
      <c r="S110" s="47">
        <v>35.497866368452335</v>
      </c>
      <c r="T110" s="47">
        <v>40.516305863580193</v>
      </c>
      <c r="U110" s="47">
        <v>45.534745358708051</v>
      </c>
      <c r="V110" s="47">
        <v>50.55318485383593</v>
      </c>
      <c r="W110" s="122"/>
      <c r="X110" s="94">
        <v>23</v>
      </c>
      <c r="Y110" s="47">
        <v>6.7254799297192802</v>
      </c>
      <c r="Z110" s="47">
        <v>11.576638108342863</v>
      </c>
      <c r="AA110" s="47">
        <v>16.427796286966469</v>
      </c>
      <c r="AB110" s="47">
        <v>21.278954465590051</v>
      </c>
      <c r="AC110" s="47">
        <v>26.130112644213675</v>
      </c>
      <c r="AD110" s="47">
        <v>30.981270822837281</v>
      </c>
      <c r="AE110" s="47">
        <v>35.832429001460866</v>
      </c>
      <c r="AF110" s="47">
        <v>40.683587180084487</v>
      </c>
      <c r="AG110" s="47">
        <v>45.534745358708072</v>
      </c>
    </row>
    <row r="111" spans="1:33" x14ac:dyDescent="0.35">
      <c r="C111" s="120">
        <v>2027</v>
      </c>
      <c r="D111" s="120"/>
      <c r="E111" s="120"/>
      <c r="F111" s="120"/>
      <c r="G111" s="120"/>
      <c r="H111" s="120"/>
      <c r="I111" s="120"/>
      <c r="J111" s="120"/>
      <c r="K111" s="120"/>
      <c r="N111" s="120">
        <v>2028</v>
      </c>
      <c r="O111" s="120"/>
      <c r="P111" s="120"/>
      <c r="Q111" s="120"/>
      <c r="R111" s="120"/>
      <c r="S111" s="120"/>
      <c r="T111" s="120"/>
      <c r="U111" s="120"/>
      <c r="V111" s="120"/>
      <c r="Y111" s="120">
        <v>2029</v>
      </c>
      <c r="Z111" s="120"/>
      <c r="AA111" s="120"/>
      <c r="AB111" s="120"/>
      <c r="AC111" s="120"/>
      <c r="AD111" s="120"/>
      <c r="AE111" s="120"/>
      <c r="AF111" s="120"/>
      <c r="AG111" s="120"/>
    </row>
    <row r="113" spans="1:24" x14ac:dyDescent="0.35">
      <c r="C113" s="121" t="s">
        <v>130</v>
      </c>
      <c r="D113" s="121"/>
      <c r="E113" s="121"/>
      <c r="F113" s="121"/>
      <c r="G113" s="121"/>
      <c r="H113" s="121"/>
      <c r="I113" s="121"/>
      <c r="J113" s="121"/>
      <c r="K113" s="121"/>
    </row>
    <row r="114" spans="1:24" x14ac:dyDescent="0.35">
      <c r="B114" s="93">
        <f>L13</f>
        <v>11.576638108342863</v>
      </c>
      <c r="C114" s="92">
        <v>2.2000000000000002</v>
      </c>
      <c r="D114" s="92">
        <v>2.2999999999999998</v>
      </c>
      <c r="E114" s="92">
        <v>2.4</v>
      </c>
      <c r="F114" s="92">
        <v>2.5</v>
      </c>
      <c r="G114" s="92">
        <v>2.6</v>
      </c>
      <c r="H114" s="92">
        <v>2.7</v>
      </c>
      <c r="I114" s="92">
        <v>2.8</v>
      </c>
      <c r="J114" s="92">
        <v>2.9</v>
      </c>
      <c r="K114" s="92">
        <v>3</v>
      </c>
    </row>
    <row r="115" spans="1:24" x14ac:dyDescent="0.35">
      <c r="A115" s="122" t="s">
        <v>106</v>
      </c>
      <c r="B115" s="94">
        <v>32</v>
      </c>
      <c r="C115" s="47">
        <f t="dataTable" ref="C115:K124" dt2D="1" dtr="1" r1="C13" r2="D13"/>
        <v>-28.58133293496158</v>
      </c>
      <c r="D115" s="47">
        <v>-25.335029886550764</v>
      </c>
      <c r="E115" s="47">
        <v>-22.088726838139927</v>
      </c>
      <c r="F115" s="47">
        <v>-18.842423789729079</v>
      </c>
      <c r="G115" s="47">
        <v>-15.596120741318231</v>
      </c>
      <c r="H115" s="47">
        <v>-12.349817692907383</v>
      </c>
      <c r="I115" s="47">
        <v>-9.1035146444965687</v>
      </c>
      <c r="J115" s="47">
        <v>-5.8572115960857314</v>
      </c>
      <c r="K115" s="47">
        <v>-2.6109085476748839</v>
      </c>
    </row>
    <row r="116" spans="1:24" x14ac:dyDescent="0.35">
      <c r="A116" s="122"/>
      <c r="B116" s="94">
        <v>31</v>
      </c>
      <c r="C116" s="47">
        <v>-26.277504965121633</v>
      </c>
      <c r="D116" s="47">
        <v>-22.926482463536281</v>
      </c>
      <c r="E116" s="47">
        <v>-19.575459961950891</v>
      </c>
      <c r="F116" s="47">
        <v>-16.224437460365493</v>
      </c>
      <c r="G116" s="47">
        <v>-12.873414958780117</v>
      </c>
      <c r="H116" s="47">
        <v>-9.5223924571947283</v>
      </c>
      <c r="I116" s="47">
        <v>-6.1713699556093733</v>
      </c>
      <c r="J116" s="47">
        <v>-2.8203474540239859</v>
      </c>
      <c r="K116" s="47">
        <v>0.53067504756139083</v>
      </c>
    </row>
    <row r="117" spans="1:24" x14ac:dyDescent="0.35">
      <c r="A117" s="122"/>
      <c r="B117" s="94">
        <v>30</v>
      </c>
      <c r="C117" s="47">
        <v>-23.820088463959021</v>
      </c>
      <c r="D117" s="47">
        <v>-20.357365212320811</v>
      </c>
      <c r="E117" s="47">
        <v>-16.894641960682588</v>
      </c>
      <c r="F117" s="47">
        <v>-13.431918709044355</v>
      </c>
      <c r="G117" s="47">
        <v>-9.969195457406121</v>
      </c>
      <c r="H117" s="47">
        <v>-6.5064722057678885</v>
      </c>
      <c r="I117" s="47">
        <v>-3.043748954129688</v>
      </c>
      <c r="J117" s="47">
        <v>0.41897429750854531</v>
      </c>
      <c r="K117" s="47">
        <v>3.8816975491467787</v>
      </c>
    </row>
    <row r="118" spans="1:24" x14ac:dyDescent="0.35">
      <c r="A118" s="122"/>
      <c r="B118" s="94">
        <v>29</v>
      </c>
      <c r="C118" s="47">
        <v>-21.193194962716223</v>
      </c>
      <c r="D118" s="47">
        <v>-17.611067461021523</v>
      </c>
      <c r="E118" s="47">
        <v>-14.028939959326802</v>
      </c>
      <c r="F118" s="47">
        <v>-10.44681245763207</v>
      </c>
      <c r="G118" s="47">
        <v>-6.8646849559373502</v>
      </c>
      <c r="H118" s="47">
        <v>-3.2825574542426406</v>
      </c>
      <c r="I118" s="47">
        <v>0.29957004745206905</v>
      </c>
      <c r="J118" s="47">
        <v>3.8816975491467787</v>
      </c>
      <c r="K118" s="47">
        <v>7.4638250508415105</v>
      </c>
    </row>
    <row r="119" spans="1:24" x14ac:dyDescent="0.35">
      <c r="A119" s="122"/>
      <c r="B119" s="94">
        <v>28</v>
      </c>
      <c r="C119" s="47">
        <v>-18.378666211384665</v>
      </c>
      <c r="D119" s="47">
        <v>-14.668605584629436</v>
      </c>
      <c r="E119" s="47">
        <v>-10.958544957874194</v>
      </c>
      <c r="F119" s="47">
        <v>-7.2484843311189433</v>
      </c>
      <c r="G119" s="47">
        <v>-3.5384237043636912</v>
      </c>
      <c r="H119" s="47">
        <v>0.17163692239157147</v>
      </c>
      <c r="I119" s="47">
        <v>3.8816975491467787</v>
      </c>
      <c r="J119" s="47">
        <v>7.5917581759020303</v>
      </c>
      <c r="K119" s="47">
        <v>11.301818802657282</v>
      </c>
    </row>
    <row r="120" spans="1:24" x14ac:dyDescent="0.35">
      <c r="A120" s="122"/>
      <c r="B120" s="94">
        <v>27</v>
      </c>
      <c r="C120" s="47">
        <v>-15.355653848843364</v>
      </c>
      <c r="D120" s="47">
        <v>-11.508183569245334</v>
      </c>
      <c r="E120" s="47">
        <v>-7.6607132896473136</v>
      </c>
      <c r="F120" s="47">
        <v>-3.8132430100492831</v>
      </c>
      <c r="G120" s="47">
        <v>3.4227269548736672E-2</v>
      </c>
      <c r="H120" s="47">
        <v>3.8816975491467787</v>
      </c>
      <c r="I120" s="47">
        <v>7.7291678287447985</v>
      </c>
      <c r="J120" s="47">
        <v>11.576638108342818</v>
      </c>
      <c r="K120" s="47">
        <v>15.424108387940883</v>
      </c>
    </row>
    <row r="121" spans="1:24" x14ac:dyDescent="0.35">
      <c r="A121" s="122"/>
      <c r="B121" s="94">
        <v>26</v>
      </c>
      <c r="C121" s="47">
        <v>-12.100102073798858</v>
      </c>
      <c r="D121" s="47">
        <v>-8.104652168062465</v>
      </c>
      <c r="E121" s="47">
        <v>-4.1092022623260505</v>
      </c>
      <c r="F121" s="47">
        <v>-0.113752356589647</v>
      </c>
      <c r="G121" s="47">
        <v>3.8816975491467787</v>
      </c>
      <c r="H121" s="47">
        <v>7.8771474548832154</v>
      </c>
      <c r="I121" s="47">
        <v>11.872597360619608</v>
      </c>
      <c r="J121" s="47">
        <v>15.868047266356022</v>
      </c>
      <c r="K121" s="47">
        <v>19.863497172092437</v>
      </c>
    </row>
    <row r="122" spans="1:24" x14ac:dyDescent="0.35">
      <c r="A122" s="122"/>
      <c r="B122" s="94">
        <v>25</v>
      </c>
      <c r="C122" s="47">
        <v>-8.5841061567508152</v>
      </c>
      <c r="D122" s="47">
        <v>-4.4288382547849725</v>
      </c>
      <c r="E122" s="47">
        <v>-0.27357035281909692</v>
      </c>
      <c r="F122" s="47">
        <v>3.8816975491467787</v>
      </c>
      <c r="G122" s="47">
        <v>8.0369654511126765</v>
      </c>
      <c r="H122" s="47">
        <v>12.19223335307853</v>
      </c>
      <c r="I122" s="47">
        <v>16.347501255044385</v>
      </c>
      <c r="J122" s="47">
        <v>20.502769157010281</v>
      </c>
      <c r="K122" s="47">
        <v>24.658037058976134</v>
      </c>
    </row>
    <row r="123" spans="1:24" x14ac:dyDescent="0.35">
      <c r="A123" s="122"/>
      <c r="B123" s="94">
        <v>24</v>
      </c>
      <c r="C123" s="47">
        <v>-4.7751105799487714</v>
      </c>
      <c r="D123" s="47">
        <v>-0.44670651540100748</v>
      </c>
      <c r="E123" s="47">
        <v>3.8816975491467787</v>
      </c>
      <c r="F123" s="47">
        <v>8.2101016136945759</v>
      </c>
      <c r="G123" s="47">
        <v>12.538505678242352</v>
      </c>
      <c r="H123" s="47">
        <v>16.866909742790149</v>
      </c>
      <c r="I123" s="47">
        <v>21.1953138073379</v>
      </c>
      <c r="J123" s="47">
        <v>25.523717871885697</v>
      </c>
      <c r="K123" s="47">
        <v>29.852121936433495</v>
      </c>
    </row>
    <row r="124" spans="1:24" x14ac:dyDescent="0.35">
      <c r="A124" s="122"/>
      <c r="B124" s="94">
        <v>23</v>
      </c>
      <c r="C124" s="47">
        <v>-0.6348979964682866</v>
      </c>
      <c r="D124" s="47">
        <v>3.8816975491467787</v>
      </c>
      <c r="E124" s="47">
        <v>8.3982930947618541</v>
      </c>
      <c r="F124" s="47">
        <v>12.914888640376931</v>
      </c>
      <c r="G124" s="47">
        <v>17.431484185992009</v>
      </c>
      <c r="H124" s="47">
        <v>21.948079731607084</v>
      </c>
      <c r="I124" s="47">
        <v>26.46467527722216</v>
      </c>
      <c r="J124" s="47">
        <v>30.981270822837214</v>
      </c>
      <c r="K124" s="47">
        <v>35.497866368452335</v>
      </c>
    </row>
    <row r="125" spans="1:24" x14ac:dyDescent="0.35">
      <c r="C125" s="120">
        <v>2030</v>
      </c>
      <c r="D125" s="120"/>
      <c r="E125" s="120"/>
      <c r="F125" s="120"/>
      <c r="G125" s="120"/>
      <c r="H125" s="120"/>
      <c r="I125" s="120"/>
      <c r="J125" s="120"/>
      <c r="K125" s="120"/>
    </row>
    <row r="128" spans="1:24" ht="43.5" x14ac:dyDescent="0.35">
      <c r="B128" s="30" t="s">
        <v>53</v>
      </c>
      <c r="C128" s="31" t="s">
        <v>109</v>
      </c>
      <c r="D128" s="31" t="s">
        <v>142</v>
      </c>
      <c r="E128" s="31" t="s">
        <v>104</v>
      </c>
      <c r="F128" s="31" t="s">
        <v>143</v>
      </c>
      <c r="G128" s="31" t="s">
        <v>105</v>
      </c>
      <c r="H128" s="31" t="s">
        <v>144</v>
      </c>
      <c r="I128" s="67" t="s">
        <v>140</v>
      </c>
      <c r="J128" s="67" t="s">
        <v>141</v>
      </c>
      <c r="K128" s="67" t="s">
        <v>137</v>
      </c>
      <c r="L128" s="67" t="s">
        <v>138</v>
      </c>
      <c r="M128" s="79" t="s">
        <v>139</v>
      </c>
      <c r="N128" s="32" t="s">
        <v>111</v>
      </c>
      <c r="O128" s="67" t="s">
        <v>145</v>
      </c>
      <c r="P128" s="35" t="s">
        <v>132</v>
      </c>
      <c r="Q128" s="35" t="s">
        <v>133</v>
      </c>
      <c r="R128" s="68" t="s">
        <v>134</v>
      </c>
      <c r="S128" s="35" t="s">
        <v>113</v>
      </c>
      <c r="T128" s="35" t="s">
        <v>135</v>
      </c>
      <c r="U128" s="80" t="s">
        <v>136</v>
      </c>
      <c r="V128" s="81" t="s">
        <v>100</v>
      </c>
      <c r="W128" s="82" t="s">
        <v>119</v>
      </c>
      <c r="X128" s="71" t="s">
        <v>122</v>
      </c>
    </row>
    <row r="129" spans="2:24" hidden="1" x14ac:dyDescent="0.35">
      <c r="B129" s="2">
        <v>1985</v>
      </c>
      <c r="C129" s="3">
        <f>Model!B7</f>
        <v>251</v>
      </c>
      <c r="D129" s="3"/>
      <c r="E129" s="3">
        <f>Model!D7</f>
        <v>6945</v>
      </c>
      <c r="F129" s="24"/>
      <c r="G129" s="3">
        <f>Model!E7</f>
        <v>27.669322709163346</v>
      </c>
      <c r="H129" s="24"/>
      <c r="I129" s="3">
        <f>Model!F7</f>
        <v>277875</v>
      </c>
      <c r="J129" s="3"/>
      <c r="K129" s="3">
        <f>Model!G7</f>
        <v>10351</v>
      </c>
      <c r="L129" s="3"/>
      <c r="M129" s="26"/>
      <c r="N129" s="26">
        <f>Model!H7</f>
        <v>41.239043824701199</v>
      </c>
      <c r="O129" s="24"/>
      <c r="P129" s="72">
        <f>Model!I7</f>
        <v>1.4904247660187186</v>
      </c>
      <c r="Q129" s="72"/>
      <c r="R129" s="72"/>
      <c r="S129" s="26">
        <f>Model!J7</f>
        <v>40.010799136069117</v>
      </c>
      <c r="T129" s="26"/>
      <c r="U129" s="26"/>
      <c r="V129" s="36"/>
      <c r="W129" s="36"/>
      <c r="X129" s="24"/>
    </row>
    <row r="130" spans="2:24" hidden="1" x14ac:dyDescent="0.35">
      <c r="B130" s="2">
        <v>1986</v>
      </c>
      <c r="C130" s="3">
        <f>Model!B8</f>
        <v>235</v>
      </c>
      <c r="D130" s="3"/>
      <c r="E130" s="3">
        <f>Model!D8</f>
        <v>6762</v>
      </c>
      <c r="F130" s="24"/>
      <c r="G130" s="3">
        <f>Model!E8</f>
        <v>28.774468085106381</v>
      </c>
      <c r="H130" s="24"/>
      <c r="I130" s="3">
        <f>Model!F8</f>
        <v>268668</v>
      </c>
      <c r="J130" s="3"/>
      <c r="K130" s="3">
        <f>Model!G8</f>
        <v>10256</v>
      </c>
      <c r="L130" s="3"/>
      <c r="M130" s="26"/>
      <c r="N130" s="26">
        <f>Model!H8</f>
        <v>43.642553191489363</v>
      </c>
      <c r="O130" s="24"/>
      <c r="P130" s="72">
        <f>Model!I8</f>
        <v>1.5167110322389827</v>
      </c>
      <c r="Q130" s="72"/>
      <c r="R130" s="72"/>
      <c r="S130" s="26">
        <f>Model!J8</f>
        <v>39.732031943212064</v>
      </c>
      <c r="T130" s="26"/>
      <c r="U130" s="26"/>
      <c r="V130" s="73"/>
      <c r="W130" s="73"/>
      <c r="X130" s="24"/>
    </row>
    <row r="131" spans="2:24" hidden="1" x14ac:dyDescent="0.35">
      <c r="B131" s="2">
        <v>1987</v>
      </c>
      <c r="C131" s="3">
        <f>Model!B9</f>
        <v>229</v>
      </c>
      <c r="D131" s="3"/>
      <c r="E131" s="3">
        <f>Model!D9</f>
        <v>6704</v>
      </c>
      <c r="F131" s="24"/>
      <c r="G131" s="3">
        <f>Model!E9</f>
        <v>29.275109170305676</v>
      </c>
      <c r="H131" s="24"/>
      <c r="I131" s="3">
        <f>Model!F9</f>
        <v>261399</v>
      </c>
      <c r="J131" s="3"/>
      <c r="K131" s="3">
        <f>Model!G9</f>
        <v>10190</v>
      </c>
      <c r="L131" s="3"/>
      <c r="M131" s="26"/>
      <c r="N131" s="26">
        <f>Model!H9</f>
        <v>44.497816593886462</v>
      </c>
      <c r="O131" s="24"/>
      <c r="P131" s="72">
        <f>Model!I9</f>
        <v>1.5199880668257757</v>
      </c>
      <c r="Q131" s="72"/>
      <c r="R131" s="72"/>
      <c r="S131" s="26">
        <f>Model!J9</f>
        <v>38.991497613365155</v>
      </c>
      <c r="T131" s="26"/>
      <c r="U131" s="26"/>
      <c r="V131" s="36"/>
      <c r="W131" s="36"/>
      <c r="X131" s="24"/>
    </row>
    <row r="132" spans="2:24" hidden="1" x14ac:dyDescent="0.35">
      <c r="B132" s="2">
        <v>1988</v>
      </c>
      <c r="C132" s="3">
        <f>Model!B10</f>
        <v>220</v>
      </c>
      <c r="D132" s="3"/>
      <c r="E132" s="3">
        <f>Model!D10</f>
        <v>6773</v>
      </c>
      <c r="F132" s="24"/>
      <c r="G132" s="3">
        <f>Model!E10</f>
        <v>30.786363636363635</v>
      </c>
      <c r="H132" s="24"/>
      <c r="I132" s="3">
        <f>Model!F10</f>
        <v>259117</v>
      </c>
      <c r="J132" s="3"/>
      <c r="K132" s="3">
        <f>Model!G10</f>
        <v>9962</v>
      </c>
      <c r="L132" s="3"/>
      <c r="M132" s="26"/>
      <c r="N132" s="26">
        <f>Model!H10</f>
        <v>45.281818181818181</v>
      </c>
      <c r="O132" s="24"/>
      <c r="P132" s="72">
        <f>Model!I10</f>
        <v>1.4708401003986418</v>
      </c>
      <c r="Q132" s="72"/>
      <c r="R132" s="72"/>
      <c r="S132" s="26">
        <f>Model!J10</f>
        <v>38.25734534179832</v>
      </c>
      <c r="T132" s="26"/>
      <c r="U132" s="26"/>
      <c r="V132" s="36"/>
      <c r="W132" s="36"/>
      <c r="X132" s="24"/>
    </row>
    <row r="133" spans="2:24" hidden="1" x14ac:dyDescent="0.35">
      <c r="B133" s="2">
        <v>1989</v>
      </c>
      <c r="C133" s="3">
        <f>Model!B11</f>
        <v>211</v>
      </c>
      <c r="D133" s="3"/>
      <c r="E133" s="3">
        <f>Model!D11</f>
        <v>6739</v>
      </c>
      <c r="F133" s="24"/>
      <c r="G133" s="3">
        <f>Model!E11</f>
        <v>31.938388625592417</v>
      </c>
      <c r="H133" s="24"/>
      <c r="I133" s="3">
        <f>Model!F11</f>
        <v>257690</v>
      </c>
      <c r="J133" s="3"/>
      <c r="K133" s="3">
        <f>Model!G11</f>
        <v>9998</v>
      </c>
      <c r="L133" s="3"/>
      <c r="M133" s="26"/>
      <c r="N133" s="26">
        <f>Model!H11</f>
        <v>47.383886255924168</v>
      </c>
      <c r="O133" s="24"/>
      <c r="P133" s="72">
        <f>Model!I11</f>
        <v>1.483602908443389</v>
      </c>
      <c r="Q133" s="72"/>
      <c r="R133" s="72"/>
      <c r="S133" s="26">
        <f>Model!J11</f>
        <v>38.238611069891675</v>
      </c>
      <c r="T133" s="26"/>
      <c r="U133" s="26"/>
      <c r="V133" s="36"/>
      <c r="W133" s="36"/>
      <c r="X133" s="24"/>
    </row>
    <row r="134" spans="2:24" hidden="1" x14ac:dyDescent="0.35">
      <c r="B134" s="2">
        <v>1990</v>
      </c>
      <c r="C134" s="3">
        <f>Model!B12</f>
        <v>207</v>
      </c>
      <c r="D134" s="3"/>
      <c r="E134" s="3">
        <f>Model!D12</f>
        <v>6658</v>
      </c>
      <c r="F134" s="24"/>
      <c r="G134" s="3">
        <f>Model!E12</f>
        <v>32.164251207729471</v>
      </c>
      <c r="H134" s="24"/>
      <c r="I134" s="3">
        <f>Model!F12</f>
        <v>257757</v>
      </c>
      <c r="J134" s="3"/>
      <c r="K134" s="3">
        <f>Model!G12</f>
        <v>10006</v>
      </c>
      <c r="L134" s="3"/>
      <c r="M134" s="26"/>
      <c r="N134" s="26">
        <f>Model!H12</f>
        <v>48.338164251207729</v>
      </c>
      <c r="O134" s="24"/>
      <c r="P134" s="72">
        <f>Model!I12</f>
        <v>1.5028537098227694</v>
      </c>
      <c r="Q134" s="72"/>
      <c r="R134" s="72"/>
      <c r="S134" s="26">
        <f>Model!J12</f>
        <v>38.713878041453889</v>
      </c>
      <c r="T134" s="26"/>
      <c r="U134" s="26"/>
      <c r="V134" s="36"/>
      <c r="W134" s="36"/>
      <c r="X134" s="24"/>
    </row>
    <row r="135" spans="2:24" hidden="1" x14ac:dyDescent="0.35">
      <c r="B135" s="2">
        <v>1991</v>
      </c>
      <c r="C135" s="3">
        <f>Model!B13</f>
        <v>201</v>
      </c>
      <c r="D135" s="3"/>
      <c r="E135" s="3">
        <f>Model!D13</f>
        <v>6551</v>
      </c>
      <c r="F135" s="24"/>
      <c r="G135" s="3">
        <f>Model!E13</f>
        <v>32.592039800995025</v>
      </c>
      <c r="H135" s="24"/>
      <c r="I135" s="3">
        <f>Model!F13</f>
        <v>260109</v>
      </c>
      <c r="J135" s="3"/>
      <c r="K135" s="3">
        <f>Model!G13</f>
        <v>9843</v>
      </c>
      <c r="L135" s="3"/>
      <c r="M135" s="26"/>
      <c r="N135" s="26">
        <f>Model!H13</f>
        <v>48.970149253731343</v>
      </c>
      <c r="O135" s="24"/>
      <c r="P135" s="72">
        <f>Model!I13</f>
        <v>1.5025186994352007</v>
      </c>
      <c r="Q135" s="72"/>
      <c r="R135" s="72"/>
      <c r="S135" s="26">
        <f>Model!J13</f>
        <v>39.705235841856208</v>
      </c>
      <c r="T135" s="26"/>
      <c r="U135" s="26"/>
      <c r="V135" s="36"/>
      <c r="W135" s="36"/>
      <c r="X135" s="24"/>
    </row>
    <row r="136" spans="2:24" hidden="1" x14ac:dyDescent="0.35">
      <c r="B136" s="2">
        <v>1992</v>
      </c>
      <c r="C136" s="3">
        <f>Model!B14</f>
        <v>193</v>
      </c>
      <c r="D136" s="3"/>
      <c r="E136" s="3">
        <f>Model!D14</f>
        <v>6647</v>
      </c>
      <c r="F136" s="24"/>
      <c r="G136" s="3">
        <f>Model!E14</f>
        <v>34.440414507772019</v>
      </c>
      <c r="H136" s="24"/>
      <c r="I136" s="3">
        <f>Model!F14</f>
        <v>262465</v>
      </c>
      <c r="J136" s="3"/>
      <c r="K136" s="3">
        <f>Model!G14</f>
        <v>10188</v>
      </c>
      <c r="L136" s="3"/>
      <c r="M136" s="26"/>
      <c r="N136" s="26">
        <f>Model!H14</f>
        <v>52.787564766839381</v>
      </c>
      <c r="O136" s="24"/>
      <c r="P136" s="72">
        <f>Model!I14</f>
        <v>1.532721528509102</v>
      </c>
      <c r="Q136" s="72"/>
      <c r="R136" s="72"/>
      <c r="S136" s="26">
        <f>Model!J14</f>
        <v>39.486234391454794</v>
      </c>
      <c r="T136" s="26"/>
      <c r="U136" s="26"/>
      <c r="V136" s="36"/>
      <c r="W136" s="36"/>
      <c r="X136" s="24"/>
    </row>
    <row r="137" spans="2:24" hidden="1" x14ac:dyDescent="0.35">
      <c r="B137" s="2">
        <v>1993</v>
      </c>
      <c r="C137" s="3">
        <f>Model!B15</f>
        <v>192</v>
      </c>
      <c r="D137" s="3"/>
      <c r="E137" s="3">
        <f>Model!D15</f>
        <v>7098</v>
      </c>
      <c r="F137" s="24"/>
      <c r="G137" s="3">
        <f>Model!E15</f>
        <v>36.96875</v>
      </c>
      <c r="H137" s="24"/>
      <c r="I137" s="3">
        <f>Model!F15</f>
        <v>261402</v>
      </c>
      <c r="J137" s="3"/>
      <c r="K137" s="3">
        <f>Model!G15</f>
        <v>10711</v>
      </c>
      <c r="L137" s="3"/>
      <c r="M137" s="26"/>
      <c r="N137" s="26">
        <f>Model!H15</f>
        <v>55.786458333333336</v>
      </c>
      <c r="O137" s="24"/>
      <c r="P137" s="72">
        <f>Model!I15</f>
        <v>1.50901662440124</v>
      </c>
      <c r="Q137" s="72"/>
      <c r="R137" s="72"/>
      <c r="S137" s="26">
        <f>Model!J15</f>
        <v>36.827557058326292</v>
      </c>
      <c r="T137" s="26"/>
      <c r="U137" s="26"/>
      <c r="V137" s="36"/>
      <c r="W137" s="36"/>
      <c r="X137" s="24"/>
    </row>
    <row r="138" spans="2:24" hidden="1" x14ac:dyDescent="0.35">
      <c r="B138" s="2">
        <v>1994</v>
      </c>
      <c r="C138" s="3">
        <f>Model!B16</f>
        <v>193</v>
      </c>
      <c r="D138" s="3"/>
      <c r="E138" s="3">
        <f>Model!D16</f>
        <v>6654</v>
      </c>
      <c r="F138" s="24"/>
      <c r="G138" s="3">
        <f>Model!E16</f>
        <v>34.476683937823836</v>
      </c>
      <c r="H138" s="24"/>
      <c r="I138" s="3">
        <f>Model!F16</f>
        <v>251005</v>
      </c>
      <c r="J138" s="3"/>
      <c r="K138" s="3">
        <f>Model!G16</f>
        <v>10553</v>
      </c>
      <c r="L138" s="3"/>
      <c r="M138" s="26"/>
      <c r="N138" s="26">
        <f>Model!H16</f>
        <v>54.678756476683937</v>
      </c>
      <c r="O138" s="24"/>
      <c r="P138" s="72">
        <f>Model!I16</f>
        <v>1.5859633303276224</v>
      </c>
      <c r="Q138" s="72"/>
      <c r="R138" s="72"/>
      <c r="S138" s="26">
        <f>Model!J16</f>
        <v>37.722422602945599</v>
      </c>
      <c r="T138" s="26"/>
      <c r="U138" s="26"/>
      <c r="V138" s="36"/>
      <c r="W138" s="36"/>
      <c r="X138" s="24"/>
    </row>
    <row r="139" spans="2:24" hidden="1" x14ac:dyDescent="0.35">
      <c r="B139" s="2">
        <v>1995</v>
      </c>
      <c r="C139" s="3">
        <f>Model!B17</f>
        <v>198</v>
      </c>
      <c r="D139" s="3"/>
      <c r="E139" s="3">
        <f>Model!D17</f>
        <v>6998</v>
      </c>
      <c r="F139" s="24"/>
      <c r="G139" s="3">
        <f>Model!E17</f>
        <v>35.343434343434346</v>
      </c>
      <c r="H139" s="24"/>
      <c r="I139" s="3">
        <f>Model!F17</f>
        <v>261553</v>
      </c>
      <c r="J139" s="3"/>
      <c r="K139" s="3">
        <f>Model!G17</f>
        <v>10479</v>
      </c>
      <c r="L139" s="3"/>
      <c r="M139" s="26"/>
      <c r="N139" s="26">
        <f>Model!H17</f>
        <v>52.924242424242422</v>
      </c>
      <c r="O139" s="24"/>
      <c r="P139" s="72">
        <f>Model!I17</f>
        <v>1.4974278365247211</v>
      </c>
      <c r="Q139" s="72"/>
      <c r="R139" s="72"/>
      <c r="S139" s="26">
        <f>Model!J17</f>
        <v>37.375392969419835</v>
      </c>
      <c r="T139" s="26"/>
      <c r="U139" s="26"/>
      <c r="V139" s="36"/>
      <c r="W139" s="36"/>
      <c r="X139" s="24"/>
    </row>
    <row r="140" spans="2:24" hidden="1" x14ac:dyDescent="0.35">
      <c r="B140" s="2">
        <v>1996</v>
      </c>
      <c r="C140" s="3">
        <f>Model!B18</f>
        <v>197</v>
      </c>
      <c r="D140" s="3"/>
      <c r="E140" s="3">
        <f>Model!D18</f>
        <v>7239</v>
      </c>
      <c r="F140" s="24"/>
      <c r="G140" s="3">
        <f>Model!E18</f>
        <v>36.746192893401016</v>
      </c>
      <c r="H140" s="24"/>
      <c r="I140" s="3">
        <f>Model!F18</f>
        <v>269432</v>
      </c>
      <c r="J140" s="3"/>
      <c r="K140" s="3">
        <f>Model!G18</f>
        <v>10649</v>
      </c>
      <c r="L140" s="3"/>
      <c r="M140" s="26"/>
      <c r="N140" s="26">
        <f>Model!H18</f>
        <v>54.055837563451774</v>
      </c>
      <c r="O140" s="24"/>
      <c r="P140" s="72">
        <f>Model!I18</f>
        <v>1.4710595386103051</v>
      </c>
      <c r="Q140" s="72"/>
      <c r="R140" s="72"/>
      <c r="S140" s="26">
        <f>Model!J18</f>
        <v>37.219505456554771</v>
      </c>
      <c r="T140" s="26"/>
      <c r="U140" s="26"/>
      <c r="V140" s="36"/>
      <c r="W140" s="36"/>
      <c r="X140" s="24"/>
    </row>
    <row r="141" spans="2:24" hidden="1" x14ac:dyDescent="0.35">
      <c r="B141" s="2">
        <v>1997</v>
      </c>
      <c r="C141" s="3">
        <f>Model!B19</f>
        <v>196</v>
      </c>
      <c r="D141" s="3"/>
      <c r="E141" s="3">
        <f>Model!D19</f>
        <v>7473</v>
      </c>
      <c r="F141" s="24"/>
      <c r="G141" s="3">
        <f>Model!E19</f>
        <v>38.127551020408163</v>
      </c>
      <c r="H141" s="24"/>
      <c r="I141" s="3">
        <f>Model!F19</f>
        <v>280314</v>
      </c>
      <c r="J141" s="3"/>
      <c r="K141" s="3">
        <f>Model!G19</f>
        <v>10577</v>
      </c>
      <c r="L141" s="3"/>
      <c r="M141" s="26"/>
      <c r="N141" s="26">
        <f>Model!H19</f>
        <v>53.964285714285715</v>
      </c>
      <c r="O141" s="24"/>
      <c r="P141" s="72">
        <f>Model!I19</f>
        <v>1.4153619697577948</v>
      </c>
      <c r="Q141" s="72"/>
      <c r="R141" s="72"/>
      <c r="S141" s="26">
        <f>Model!J19</f>
        <v>37.510236852669614</v>
      </c>
      <c r="T141" s="26"/>
      <c r="U141" s="26"/>
      <c r="V141" s="36"/>
      <c r="W141" s="36"/>
      <c r="X141" s="24"/>
    </row>
    <row r="142" spans="2:24" hidden="1" x14ac:dyDescent="0.35">
      <c r="B142" s="2">
        <v>1998</v>
      </c>
      <c r="C142" s="3">
        <f>Model!B20</f>
        <v>193</v>
      </c>
      <c r="D142" s="3"/>
      <c r="E142" s="3">
        <f>Model!D20</f>
        <v>7684</v>
      </c>
      <c r="F142" s="24"/>
      <c r="G142" s="3">
        <f>Model!E20</f>
        <v>39.813471502590673</v>
      </c>
      <c r="H142" s="24"/>
      <c r="I142" s="3">
        <f>Model!F20</f>
        <v>288228</v>
      </c>
      <c r="J142" s="3"/>
      <c r="K142" s="3">
        <f>Model!G20</f>
        <v>10968</v>
      </c>
      <c r="L142" s="3"/>
      <c r="M142" s="26"/>
      <c r="N142" s="26">
        <f>Model!H20</f>
        <v>56.829015544041454</v>
      </c>
      <c r="O142" s="24"/>
      <c r="P142" s="72">
        <f>Model!I20</f>
        <v>1.4273815720978658</v>
      </c>
      <c r="Q142" s="72"/>
      <c r="R142" s="72"/>
      <c r="S142" s="26">
        <f>Model!J20</f>
        <v>37.510150963040083</v>
      </c>
      <c r="T142" s="26"/>
      <c r="U142" s="26"/>
      <c r="V142" s="36"/>
      <c r="W142" s="36"/>
      <c r="X142" s="24"/>
    </row>
    <row r="143" spans="2:24" hidden="1" x14ac:dyDescent="0.35">
      <c r="B143" s="2">
        <v>1999</v>
      </c>
      <c r="C143" s="3">
        <f>Model!B21</f>
        <v>199</v>
      </c>
      <c r="D143" s="3"/>
      <c r="E143" s="3">
        <f>Model!D21</f>
        <v>8061</v>
      </c>
      <c r="F143" s="24"/>
      <c r="G143" s="3">
        <f>Model!E21</f>
        <v>40.507537688442213</v>
      </c>
      <c r="H143" s="24"/>
      <c r="I143" s="3">
        <f>Model!F21</f>
        <v>299959</v>
      </c>
      <c r="J143" s="3"/>
      <c r="K143" s="3">
        <f>Model!G21</f>
        <v>11272</v>
      </c>
      <c r="L143" s="3"/>
      <c r="M143" s="26"/>
      <c r="N143" s="26">
        <f>Model!H21</f>
        <v>56.643216080402013</v>
      </c>
      <c r="O143" s="24"/>
      <c r="P143" s="72">
        <f>Model!I21</f>
        <v>1.3983376752263987</v>
      </c>
      <c r="Q143" s="72"/>
      <c r="R143" s="72"/>
      <c r="S143" s="26">
        <f>Model!J21</f>
        <v>37.211140057064881</v>
      </c>
      <c r="T143" s="26"/>
      <c r="U143" s="26"/>
      <c r="V143" s="36"/>
      <c r="W143" s="36"/>
      <c r="X143" s="24"/>
    </row>
    <row r="144" spans="2:24" hidden="1" x14ac:dyDescent="0.35">
      <c r="B144" s="2">
        <v>2000</v>
      </c>
      <c r="C144" s="3">
        <f>Model!B22</f>
        <v>201</v>
      </c>
      <c r="D144" s="3"/>
      <c r="E144" s="3">
        <f>Model!D22</f>
        <v>8196</v>
      </c>
      <c r="F144" s="24"/>
      <c r="G144" s="3">
        <f>Model!E22</f>
        <v>40.776119402985074</v>
      </c>
      <c r="H144" s="24"/>
      <c r="I144" s="3">
        <f>Model!F22</f>
        <v>305705</v>
      </c>
      <c r="J144" s="3"/>
      <c r="K144" s="3">
        <f>Model!G22</f>
        <v>11923</v>
      </c>
      <c r="L144" s="3"/>
      <c r="M144" s="26"/>
      <c r="N144" s="26">
        <f>Model!H22</f>
        <v>59.318407960199004</v>
      </c>
      <c r="O144" s="24"/>
      <c r="P144" s="72">
        <f>Model!I22</f>
        <v>1.4547340165934601</v>
      </c>
      <c r="Q144" s="72"/>
      <c r="R144" s="72"/>
      <c r="S144" s="26">
        <f>Model!J22</f>
        <v>37.299292337725717</v>
      </c>
      <c r="T144" s="26"/>
      <c r="U144" s="26"/>
      <c r="V144" s="36"/>
      <c r="W144" s="36"/>
      <c r="X144" s="24"/>
    </row>
    <row r="145" spans="2:24" hidden="1" x14ac:dyDescent="0.35">
      <c r="B145" s="2">
        <v>2001</v>
      </c>
      <c r="C145" s="3">
        <f>Model!B23</f>
        <v>197</v>
      </c>
      <c r="D145" s="3"/>
      <c r="E145" s="3">
        <f>Model!D23</f>
        <v>8088</v>
      </c>
      <c r="F145" s="24"/>
      <c r="G145" s="3">
        <f>Model!E23</f>
        <v>41.055837563451774</v>
      </c>
      <c r="H145" s="24"/>
      <c r="I145" s="3">
        <f>Model!F23</f>
        <v>302566</v>
      </c>
      <c r="J145" s="3"/>
      <c r="K145" s="3">
        <f>Model!G23</f>
        <v>12065</v>
      </c>
      <c r="L145" s="3"/>
      <c r="M145" s="26"/>
      <c r="N145" s="26">
        <f>Model!H23</f>
        <v>61.243654822335024</v>
      </c>
      <c r="O145" s="24"/>
      <c r="P145" s="72">
        <f>Model!I23</f>
        <v>1.4917161226508409</v>
      </c>
      <c r="Q145" s="72"/>
      <c r="R145" s="72"/>
      <c r="S145" s="26">
        <f>Model!J23</f>
        <v>37.409248269040553</v>
      </c>
      <c r="T145" s="26"/>
      <c r="U145" s="26"/>
      <c r="V145" s="36"/>
      <c r="W145" s="36"/>
      <c r="X145" s="24"/>
    </row>
    <row r="146" spans="2:24" hidden="1" x14ac:dyDescent="0.35">
      <c r="B146" s="2">
        <v>2002</v>
      </c>
      <c r="C146" s="3">
        <f>Model!B24</f>
        <v>183</v>
      </c>
      <c r="D146" s="3"/>
      <c r="E146" s="3">
        <f>Model!D24</f>
        <v>8040</v>
      </c>
      <c r="F146" s="24"/>
      <c r="G146" s="3">
        <f>Model!E24</f>
        <v>43.934426229508198</v>
      </c>
      <c r="H146" s="24"/>
      <c r="I146" s="3">
        <f>Model!F24</f>
        <v>302501</v>
      </c>
      <c r="J146" s="3"/>
      <c r="K146" s="3">
        <f>Model!G24</f>
        <v>12423</v>
      </c>
      <c r="L146" s="3"/>
      <c r="M146" s="26"/>
      <c r="N146" s="26">
        <f>Model!H24</f>
        <v>67.885245901639351</v>
      </c>
      <c r="O146" s="24"/>
      <c r="P146" s="72">
        <f>Model!I24</f>
        <v>1.5451492537313434</v>
      </c>
      <c r="Q146" s="72"/>
      <c r="R146" s="72"/>
      <c r="S146" s="26">
        <f>Model!J24</f>
        <v>37.624502487562189</v>
      </c>
      <c r="T146" s="26"/>
      <c r="U146" s="26"/>
      <c r="V146" s="36"/>
      <c r="W146" s="36"/>
      <c r="X146" s="24"/>
    </row>
    <row r="147" spans="2:24" hidden="1" x14ac:dyDescent="0.35">
      <c r="B147" s="2">
        <v>2003</v>
      </c>
      <c r="C147" s="3">
        <f>Model!B25</f>
        <v>178</v>
      </c>
      <c r="D147" s="3"/>
      <c r="E147" s="3">
        <f>Model!D25</f>
        <v>7944</v>
      </c>
      <c r="F147" s="24"/>
      <c r="G147" s="3">
        <f>Model!E25</f>
        <v>44.629213483146067</v>
      </c>
      <c r="H147" s="24"/>
      <c r="I147" s="3">
        <f>Model!F25</f>
        <v>299939</v>
      </c>
      <c r="J147" s="3"/>
      <c r="K147" s="3">
        <f>Model!G25</f>
        <v>12025</v>
      </c>
      <c r="L147" s="3"/>
      <c r="M147" s="26"/>
      <c r="N147" s="26">
        <f>Model!H25</f>
        <v>67.556179775280896</v>
      </c>
      <c r="O147" s="24"/>
      <c r="P147" s="72">
        <f>Model!I25</f>
        <v>1.5137210473313192</v>
      </c>
      <c r="Q147" s="72"/>
      <c r="R147" s="72"/>
      <c r="S147" s="26">
        <f>Model!J25</f>
        <v>37.75667170191339</v>
      </c>
      <c r="T147" s="26"/>
      <c r="U147" s="26"/>
      <c r="V147" s="36"/>
      <c r="W147" s="36"/>
      <c r="X147" s="24"/>
    </row>
    <row r="148" spans="2:24" hidden="1" x14ac:dyDescent="0.35">
      <c r="B148" s="2">
        <v>2004</v>
      </c>
      <c r="C148" s="3">
        <f>Model!B26</f>
        <v>177</v>
      </c>
      <c r="D148" s="3"/>
      <c r="E148" s="3">
        <f>Model!D26</f>
        <v>7873</v>
      </c>
      <c r="F148" s="24"/>
      <c r="G148" s="3">
        <f>Model!E26</f>
        <v>44.480225988700568</v>
      </c>
      <c r="H148" s="24"/>
      <c r="I148" s="3">
        <f>Model!F26</f>
        <v>296419</v>
      </c>
      <c r="J148" s="3"/>
      <c r="K148" s="3">
        <f>Model!G26</f>
        <v>12209</v>
      </c>
      <c r="L148" s="3"/>
      <c r="M148" s="26"/>
      <c r="N148" s="26">
        <f>Model!H26</f>
        <v>68.977401129943502</v>
      </c>
      <c r="O148" s="24"/>
      <c r="P148" s="72">
        <f>Model!I26</f>
        <v>1.550743045852915</v>
      </c>
      <c r="Q148" s="72"/>
      <c r="R148" s="72"/>
      <c r="S148" s="26">
        <f>Model!J26</f>
        <v>37.650069859011815</v>
      </c>
      <c r="T148" s="26"/>
      <c r="U148" s="26"/>
      <c r="V148" s="36"/>
      <c r="W148" s="36"/>
      <c r="X148" s="24"/>
    </row>
    <row r="149" spans="2:24" hidden="1" x14ac:dyDescent="0.35">
      <c r="B149" s="2">
        <v>2005</v>
      </c>
      <c r="C149" s="3">
        <f>Model!B27</f>
        <v>173</v>
      </c>
      <c r="D149" s="3"/>
      <c r="E149" s="3">
        <f>Model!D27</f>
        <v>8036</v>
      </c>
      <c r="F149" s="24"/>
      <c r="G149" s="3">
        <f>Model!E27</f>
        <v>46.450867052023121</v>
      </c>
      <c r="H149" s="24"/>
      <c r="I149" s="3">
        <f>Model!F27</f>
        <v>282793</v>
      </c>
      <c r="J149" s="3"/>
      <c r="K149" s="3">
        <f>Model!G27</f>
        <v>12022</v>
      </c>
      <c r="L149" s="3"/>
      <c r="M149" s="26"/>
      <c r="N149" s="26">
        <f>Model!H27</f>
        <v>69.49132947976878</v>
      </c>
      <c r="O149" s="24"/>
      <c r="P149" s="72">
        <f>Model!I27</f>
        <v>1.4960179193628669</v>
      </c>
      <c r="Q149" s="72"/>
      <c r="R149" s="72"/>
      <c r="S149" s="26">
        <f>Model!J27</f>
        <v>35.190766550522646</v>
      </c>
      <c r="T149" s="26"/>
      <c r="U149" s="26"/>
      <c r="V149" s="36"/>
      <c r="W149" s="36"/>
      <c r="X149" s="24"/>
    </row>
    <row r="150" spans="2:24" hidden="1" x14ac:dyDescent="0.35">
      <c r="B150" s="2">
        <v>2006</v>
      </c>
      <c r="C150" s="3">
        <f>Model!B28</f>
        <v>172</v>
      </c>
      <c r="D150" s="3"/>
      <c r="E150" s="3">
        <f>Model!D28</f>
        <v>8235</v>
      </c>
      <c r="F150" s="24"/>
      <c r="G150" s="3">
        <f>Model!E28</f>
        <v>47.877906976744185</v>
      </c>
      <c r="H150" s="24"/>
      <c r="I150" s="3">
        <f>Model!F28</f>
        <v>277291</v>
      </c>
      <c r="J150" s="3"/>
      <c r="K150" s="3">
        <f>Model!G28</f>
        <v>12268</v>
      </c>
      <c r="L150" s="3"/>
      <c r="M150" s="26"/>
      <c r="N150" s="26">
        <f>Model!H28</f>
        <v>71.325581395348834</v>
      </c>
      <c r="O150" s="24"/>
      <c r="P150" s="72">
        <f>Model!I28</f>
        <v>1.489738919247116</v>
      </c>
      <c r="Q150" s="72"/>
      <c r="R150" s="72"/>
      <c r="S150" s="26">
        <f>Model!J28</f>
        <v>33.672252580449303</v>
      </c>
      <c r="T150" s="26"/>
      <c r="U150" s="26"/>
      <c r="V150" s="36"/>
      <c r="W150" s="36"/>
      <c r="X150" s="24"/>
    </row>
    <row r="151" spans="2:24" hidden="1" x14ac:dyDescent="0.35">
      <c r="B151" s="2">
        <v>2007</v>
      </c>
      <c r="C151" s="3">
        <f>Model!B29</f>
        <v>170</v>
      </c>
      <c r="D151" s="3"/>
      <c r="E151" s="3">
        <f>Model!D29</f>
        <v>8247</v>
      </c>
      <c r="F151" s="24"/>
      <c r="G151" s="3">
        <f>Model!E29</f>
        <v>48.511764705882356</v>
      </c>
      <c r="H151" s="24"/>
      <c r="I151" s="3">
        <f>Model!F29</f>
        <v>277772</v>
      </c>
      <c r="J151" s="3"/>
      <c r="K151" s="3">
        <f>Model!G29</f>
        <v>12472</v>
      </c>
      <c r="L151" s="3"/>
      <c r="M151" s="26"/>
      <c r="N151" s="26">
        <f>Model!H29</f>
        <v>73.364705882352936</v>
      </c>
      <c r="O151" s="24"/>
      <c r="P151" s="72">
        <f>Model!I29</f>
        <v>1.51230750575967</v>
      </c>
      <c r="Q151" s="72"/>
      <c r="R151" s="72"/>
      <c r="S151" s="26">
        <f>Model!J29</f>
        <v>33.681581181035526</v>
      </c>
      <c r="T151" s="26"/>
      <c r="U151" s="26"/>
      <c r="V151" s="36"/>
      <c r="W151" s="36"/>
      <c r="X151" s="24"/>
    </row>
    <row r="152" spans="2:24" hidden="1" x14ac:dyDescent="0.35">
      <c r="B152" s="2">
        <v>2008</v>
      </c>
      <c r="C152" s="3">
        <f>Model!B30</f>
        <v>174</v>
      </c>
      <c r="D152" s="3"/>
      <c r="E152" s="3">
        <f>Model!D30</f>
        <v>8097</v>
      </c>
      <c r="F152" s="24"/>
      <c r="G152" s="3">
        <f>Model!E30</f>
        <v>46.53448275862069</v>
      </c>
      <c r="H152" s="24"/>
      <c r="I152" s="3">
        <f>Model!F30</f>
        <v>272097</v>
      </c>
      <c r="J152" s="3"/>
      <c r="K152" s="3">
        <f>Model!G30</f>
        <v>12723</v>
      </c>
      <c r="L152" s="3"/>
      <c r="M152" s="26"/>
      <c r="N152" s="26">
        <f>Model!H30</f>
        <v>73.120689655172413</v>
      </c>
      <c r="O152" s="24"/>
      <c r="P152" s="72">
        <f>Model!I30</f>
        <v>1.5713227121155984</v>
      </c>
      <c r="Q152" s="72"/>
      <c r="R152" s="72"/>
      <c r="S152" s="26">
        <f>Model!J30</f>
        <v>33.604668395702113</v>
      </c>
      <c r="T152" s="26"/>
      <c r="U152" s="26"/>
      <c r="V152" s="36"/>
      <c r="W152" s="36"/>
      <c r="X152" s="24"/>
    </row>
    <row r="153" spans="2:24" hidden="1" x14ac:dyDescent="0.35">
      <c r="B153" s="2">
        <v>2009</v>
      </c>
      <c r="C153" s="3">
        <f>Model!B31</f>
        <v>172</v>
      </c>
      <c r="D153" s="3"/>
      <c r="E153" s="3">
        <f>Model!D31</f>
        <v>7906</v>
      </c>
      <c r="F153" s="24"/>
      <c r="G153" s="3">
        <f>Model!E31</f>
        <v>45.965116279069768</v>
      </c>
      <c r="H153" s="24"/>
      <c r="I153" s="3">
        <f>Model!F31</f>
        <v>265104</v>
      </c>
      <c r="J153" s="3"/>
      <c r="K153" s="3">
        <f>Model!G31</f>
        <v>13493</v>
      </c>
      <c r="L153" s="3"/>
      <c r="M153" s="26"/>
      <c r="N153" s="26">
        <f>Model!H31</f>
        <v>78.447674418604649</v>
      </c>
      <c r="O153" s="24"/>
      <c r="P153" s="72">
        <f>Model!I31</f>
        <v>1.7066784720465469</v>
      </c>
      <c r="Q153" s="72"/>
      <c r="R153" s="72"/>
      <c r="S153" s="26">
        <f>Model!J31</f>
        <v>33.532001011889705</v>
      </c>
      <c r="T153" s="26"/>
      <c r="U153" s="26"/>
      <c r="V153" s="36"/>
      <c r="W153" s="36"/>
      <c r="X153" s="24"/>
    </row>
    <row r="154" spans="2:24" hidden="1" x14ac:dyDescent="0.35">
      <c r="B154" s="2">
        <v>2010</v>
      </c>
      <c r="C154" s="3">
        <f>Model!B32</f>
        <v>173</v>
      </c>
      <c r="D154" s="3"/>
      <c r="E154" s="3">
        <f>Model!D32</f>
        <v>7692</v>
      </c>
      <c r="F154" s="24"/>
      <c r="G154" s="3">
        <f>Model!E32</f>
        <v>44.462427745664741</v>
      </c>
      <c r="H154" s="24"/>
      <c r="I154" s="3">
        <f>Model!F32</f>
        <v>256801</v>
      </c>
      <c r="J154" s="3"/>
      <c r="K154" s="3">
        <f>Model!G32</f>
        <v>13318</v>
      </c>
      <c r="L154" s="3"/>
      <c r="M154" s="26"/>
      <c r="N154" s="26">
        <f>Model!H32</f>
        <v>76.982658959537574</v>
      </c>
      <c r="O154" s="24"/>
      <c r="P154" s="72">
        <f>Model!I32</f>
        <v>1.7314092563702548</v>
      </c>
      <c r="Q154" s="72"/>
      <c r="R154" s="72"/>
      <c r="S154" s="26">
        <f>Model!J32</f>
        <v>33.385465418616747</v>
      </c>
      <c r="T154" s="26"/>
      <c r="U154" s="26"/>
      <c r="V154" s="36"/>
      <c r="W154" s="36"/>
      <c r="X154" s="24"/>
    </row>
    <row r="155" spans="2:24" x14ac:dyDescent="0.35">
      <c r="B155" s="2">
        <v>2011</v>
      </c>
      <c r="C155" s="3">
        <f>Model!B33</f>
        <v>174</v>
      </c>
      <c r="D155" s="3"/>
      <c r="E155" s="3">
        <f>Model!D33</f>
        <v>7522</v>
      </c>
      <c r="F155" s="24"/>
      <c r="G155" s="3">
        <f>Model!E33</f>
        <v>43.229885057471265</v>
      </c>
      <c r="H155" s="24"/>
      <c r="I155" s="69">
        <f>Model!F33/10000</f>
        <v>25.116499999999998</v>
      </c>
      <c r="J155" s="3"/>
      <c r="K155" s="69">
        <f>Model!G33/1000</f>
        <v>13.586</v>
      </c>
      <c r="L155" s="69"/>
      <c r="M155" s="74"/>
      <c r="N155" s="26">
        <f>Model!H33</f>
        <v>78.080459770114942</v>
      </c>
      <c r="O155" s="24"/>
      <c r="P155" s="72">
        <f>Model!I33</f>
        <v>1.8061685721882479</v>
      </c>
      <c r="Q155" s="72"/>
      <c r="R155" s="72"/>
      <c r="S155" s="26">
        <f>Model!J33</f>
        <v>33.390720553044403</v>
      </c>
      <c r="T155" s="26"/>
      <c r="U155" s="26"/>
      <c r="V155" s="36"/>
      <c r="W155" s="36"/>
      <c r="X155" s="24"/>
    </row>
    <row r="156" spans="2:24" x14ac:dyDescent="0.35">
      <c r="B156" s="2">
        <v>2012</v>
      </c>
      <c r="C156" s="3">
        <f>Model!B34</f>
        <v>175</v>
      </c>
      <c r="D156" s="3"/>
      <c r="E156" s="3">
        <f>Model!D34</f>
        <v>7377</v>
      </c>
      <c r="F156" s="24"/>
      <c r="G156" s="3">
        <f>Model!E34</f>
        <v>42.154285714285713</v>
      </c>
      <c r="H156" s="24"/>
      <c r="I156" s="69">
        <f>Model!F34/10000</f>
        <v>24.556000000000001</v>
      </c>
      <c r="J156" s="3"/>
      <c r="K156" s="69">
        <f>Model!G34/1000</f>
        <v>13.978999999999999</v>
      </c>
      <c r="L156" s="69"/>
      <c r="M156" s="74"/>
      <c r="N156" s="26">
        <f>Model!H34</f>
        <v>79.88</v>
      </c>
      <c r="O156" s="24"/>
      <c r="P156" s="72">
        <f>Model!I34</f>
        <v>1.8949437440694048</v>
      </c>
      <c r="Q156" s="72"/>
      <c r="R156" s="72"/>
      <c r="S156" s="26">
        <f>Model!J34</f>
        <v>33.287244137183137</v>
      </c>
      <c r="T156" s="26"/>
      <c r="U156" s="26"/>
      <c r="V156" s="36"/>
      <c r="W156" s="36"/>
      <c r="X156" s="24"/>
    </row>
    <row r="157" spans="2:24" x14ac:dyDescent="0.35">
      <c r="B157" s="2">
        <v>2013</v>
      </c>
      <c r="C157" s="3">
        <f>Model!B35</f>
        <v>182</v>
      </c>
      <c r="D157" s="3"/>
      <c r="E157" s="3">
        <f>Model!D35</f>
        <v>7242</v>
      </c>
      <c r="F157" s="24"/>
      <c r="G157" s="3">
        <f>Model!E35</f>
        <v>39.791208791208788</v>
      </c>
      <c r="H157" s="24"/>
      <c r="I157" s="69">
        <f>Model!F35/10000</f>
        <v>23.686199999999999</v>
      </c>
      <c r="J157" s="3"/>
      <c r="K157" s="69">
        <f>Model!G35/1000</f>
        <v>14.442</v>
      </c>
      <c r="L157" s="69"/>
      <c r="M157" s="74"/>
      <c r="N157" s="26">
        <f>Model!H35</f>
        <v>79.35164835164835</v>
      </c>
      <c r="O157" s="24"/>
      <c r="P157" s="72">
        <f>Model!I35</f>
        <v>1.9942004971002487</v>
      </c>
      <c r="Q157" s="72"/>
      <c r="R157" s="72"/>
      <c r="S157" s="26">
        <f>Model!J35</f>
        <v>32.706710853355425</v>
      </c>
      <c r="T157" s="26"/>
      <c r="U157" s="26"/>
      <c r="V157" s="36"/>
      <c r="W157" s="36"/>
      <c r="X157" s="24"/>
    </row>
    <row r="158" spans="2:24" x14ac:dyDescent="0.35">
      <c r="B158" s="2">
        <v>2014</v>
      </c>
      <c r="C158" s="3">
        <f>Model!B36</f>
        <v>185</v>
      </c>
      <c r="D158" s="3"/>
      <c r="E158" s="3">
        <f>Model!D36</f>
        <v>7196</v>
      </c>
      <c r="F158" s="24"/>
      <c r="G158" s="3">
        <f>Model!E36</f>
        <v>38.8972972972973</v>
      </c>
      <c r="H158" s="24"/>
      <c r="I158" s="69">
        <f>Model!F36/10000</f>
        <v>23.4499</v>
      </c>
      <c r="J158" s="3"/>
      <c r="K158" s="69">
        <f>Model!G36/1000</f>
        <v>14.343</v>
      </c>
      <c r="L158" s="69"/>
      <c r="M158" s="74"/>
      <c r="N158" s="26">
        <f>Model!H36</f>
        <v>77.529729729729723</v>
      </c>
      <c r="O158" s="24"/>
      <c r="P158" s="72">
        <f>Model!I36</f>
        <v>1.993190661478599</v>
      </c>
      <c r="Q158" s="72"/>
      <c r="R158" s="72"/>
      <c r="S158" s="26">
        <f>Model!J36</f>
        <v>32.587409672040025</v>
      </c>
      <c r="T158" s="26"/>
      <c r="U158" s="26"/>
      <c r="V158" s="36"/>
      <c r="W158" s="36"/>
      <c r="X158" s="24"/>
    </row>
    <row r="159" spans="2:24" x14ac:dyDescent="0.35">
      <c r="B159" s="2">
        <v>2015</v>
      </c>
      <c r="C159" s="3">
        <f>Model!B37</f>
        <v>182</v>
      </c>
      <c r="D159" s="3"/>
      <c r="E159" s="3">
        <f>Model!D37</f>
        <v>7141</v>
      </c>
      <c r="F159" s="24"/>
      <c r="G159" s="3">
        <f>Model!E37</f>
        <v>39.236263736263737</v>
      </c>
      <c r="H159" s="24"/>
      <c r="I159" s="69">
        <f>Model!F37/10000</f>
        <v>23.193300000000001</v>
      </c>
      <c r="J159" s="3"/>
      <c r="K159" s="69">
        <f>Model!G37/1000</f>
        <v>14.566000000000001</v>
      </c>
      <c r="L159" s="69"/>
      <c r="M159" s="74"/>
      <c r="N159" s="26">
        <f>Model!H37</f>
        <v>80.032967032967036</v>
      </c>
      <c r="O159" s="24"/>
      <c r="P159" s="72">
        <f>Model!I37</f>
        <v>2.039770340288475</v>
      </c>
      <c r="Q159" s="72"/>
      <c r="R159" s="72"/>
      <c r="S159" s="26">
        <f>Model!J37</f>
        <v>32.479064556784763</v>
      </c>
      <c r="T159" s="26"/>
      <c r="U159" s="26"/>
      <c r="V159" s="36"/>
      <c r="W159" s="36"/>
      <c r="X159" s="24"/>
    </row>
    <row r="160" spans="2:24" x14ac:dyDescent="0.35">
      <c r="B160" s="2">
        <v>2016</v>
      </c>
      <c r="C160" s="3">
        <f>Model!B38</f>
        <v>185</v>
      </c>
      <c r="D160" s="3"/>
      <c r="E160" s="3">
        <f>Model!D38</f>
        <v>7143</v>
      </c>
      <c r="F160" s="24"/>
      <c r="G160" s="3">
        <f>Model!E38</f>
        <v>38.610810810810811</v>
      </c>
      <c r="H160" s="24"/>
      <c r="I160" s="69">
        <f>Model!F38/10000</f>
        <v>23.0989</v>
      </c>
      <c r="J160" s="3"/>
      <c r="K160" s="69">
        <f>Model!G38/1000</f>
        <v>14.997</v>
      </c>
      <c r="L160" s="69"/>
      <c r="M160" s="74"/>
      <c r="N160" s="26">
        <f>Model!H38</f>
        <v>81.064864864864859</v>
      </c>
      <c r="O160" s="24"/>
      <c r="P160" s="72">
        <f>Model!I38</f>
        <v>2.099538009239815</v>
      </c>
      <c r="Q160" s="72"/>
      <c r="R160" s="72"/>
      <c r="S160" s="26">
        <f>Model!J38</f>
        <v>32.337813243735127</v>
      </c>
      <c r="T160" s="26"/>
      <c r="U160" s="26"/>
      <c r="V160" s="36"/>
      <c r="W160" s="36"/>
      <c r="X160" s="24"/>
    </row>
    <row r="161" spans="2:24" x14ac:dyDescent="0.35">
      <c r="B161" s="2">
        <v>2017</v>
      </c>
      <c r="C161" s="3">
        <f>Model!B39</f>
        <v>185</v>
      </c>
      <c r="D161" s="3"/>
      <c r="E161" s="3">
        <f>Model!D39</f>
        <v>7105</v>
      </c>
      <c r="F161" s="24"/>
      <c r="G161" s="3">
        <f>Model!E39</f>
        <v>38.405405405405403</v>
      </c>
      <c r="H161" s="24"/>
      <c r="I161" s="69">
        <f>Model!F39/10000</f>
        <v>22.867000000000001</v>
      </c>
      <c r="J161" s="3"/>
      <c r="K161" s="69">
        <f>Model!G39/1000</f>
        <v>15.183</v>
      </c>
      <c r="L161" s="69"/>
      <c r="M161" s="74"/>
      <c r="N161" s="26">
        <f>Model!H39</f>
        <v>82.070270270270271</v>
      </c>
      <c r="O161" s="24"/>
      <c r="P161" s="72">
        <f>Model!I39</f>
        <v>2.1369458128078818</v>
      </c>
      <c r="Q161" s="72"/>
      <c r="R161" s="72"/>
      <c r="S161" s="26">
        <f>Model!J39</f>
        <v>32.184377199155527</v>
      </c>
      <c r="T161" s="26"/>
      <c r="U161" s="26"/>
      <c r="V161" s="36"/>
      <c r="W161" s="36"/>
      <c r="X161" s="24"/>
    </row>
    <row r="162" spans="2:24" x14ac:dyDescent="0.35">
      <c r="B162" s="2">
        <v>2018</v>
      </c>
      <c r="C162" s="3">
        <f>Model!B40</f>
        <v>186</v>
      </c>
      <c r="D162" s="3"/>
      <c r="E162" s="3">
        <f>Model!D40</f>
        <v>7089</v>
      </c>
      <c r="F162" s="24"/>
      <c r="G162" s="3">
        <f>Model!E40</f>
        <v>38.112903225806448</v>
      </c>
      <c r="H162" s="24"/>
      <c r="I162" s="69">
        <f>Model!F40/10000</f>
        <v>22.740600000000001</v>
      </c>
      <c r="J162" s="3"/>
      <c r="K162" s="69">
        <f>Model!G40/1000</f>
        <v>15.364000000000001</v>
      </c>
      <c r="L162" s="69"/>
      <c r="M162" s="74"/>
      <c r="N162" s="26">
        <f>Model!H40</f>
        <v>82.602150537634415</v>
      </c>
      <c r="O162" s="24"/>
      <c r="P162" s="72">
        <f>Model!I40</f>
        <v>2.1673014529552832</v>
      </c>
      <c r="Q162" s="72"/>
      <c r="R162" s="72"/>
      <c r="S162" s="26">
        <f>Model!J40</f>
        <v>32.078713499788407</v>
      </c>
      <c r="T162" s="26"/>
      <c r="U162" s="26"/>
      <c r="V162" s="36"/>
      <c r="W162" s="36"/>
      <c r="X162" s="24"/>
    </row>
    <row r="163" spans="2:24" x14ac:dyDescent="0.35">
      <c r="B163" s="2">
        <v>2019</v>
      </c>
      <c r="C163" s="3">
        <f>Model!B41</f>
        <v>179</v>
      </c>
      <c r="D163" s="3"/>
      <c r="E163" s="3">
        <f>Model!D41</f>
        <v>7123</v>
      </c>
      <c r="F163" s="24"/>
      <c r="G163" s="3">
        <f>Model!E41</f>
        <v>39.793296089385478</v>
      </c>
      <c r="H163" s="24"/>
      <c r="I163" s="69">
        <f>Model!F41/10000</f>
        <v>22.806000000000001</v>
      </c>
      <c r="J163" s="3"/>
      <c r="K163" s="69">
        <f>Model!G41/1000</f>
        <v>15.436</v>
      </c>
      <c r="L163" s="69"/>
      <c r="M163" s="74"/>
      <c r="N163" s="26">
        <f>Model!H41</f>
        <v>86.234636871508386</v>
      </c>
      <c r="O163" s="24"/>
      <c r="P163" s="72">
        <f>Model!I41</f>
        <v>2.1670644391408116</v>
      </c>
      <c r="Q163" s="72"/>
      <c r="R163" s="72"/>
      <c r="S163" s="26">
        <f>Model!J41</f>
        <v>32.017408395339039</v>
      </c>
      <c r="T163" s="26"/>
      <c r="U163" s="26"/>
      <c r="V163" s="36"/>
      <c r="W163" s="36"/>
      <c r="X163" s="24"/>
    </row>
    <row r="164" spans="2:24" x14ac:dyDescent="0.35">
      <c r="B164" s="2">
        <v>2020</v>
      </c>
      <c r="C164" s="3">
        <f>Model!B42</f>
        <v>180</v>
      </c>
      <c r="D164" s="3"/>
      <c r="E164" s="3">
        <f>Model!D42</f>
        <v>7064</v>
      </c>
      <c r="F164" s="24"/>
      <c r="G164" s="3">
        <f>Model!E42</f>
        <v>39.244444444444447</v>
      </c>
      <c r="H164" s="24"/>
      <c r="I164" s="69">
        <f>Model!F42/10000</f>
        <v>22.566099999999999</v>
      </c>
      <c r="J164" s="3"/>
      <c r="K164" s="69">
        <f>Model!G42/1000</f>
        <v>15.682</v>
      </c>
      <c r="L164" s="69"/>
      <c r="M164" s="74"/>
      <c r="N164" s="26">
        <f>Model!H42</f>
        <v>87.12222222222222</v>
      </c>
      <c r="O164" s="24"/>
      <c r="P164" s="72">
        <f>Model!I42</f>
        <v>2.2199886749716873</v>
      </c>
      <c r="Q164" s="72"/>
      <c r="R164" s="72"/>
      <c r="S164" s="26">
        <f>Model!J42</f>
        <v>31.945215175537939</v>
      </c>
      <c r="T164" s="26"/>
      <c r="U164" s="26"/>
      <c r="V164" s="36"/>
      <c r="W164" s="36"/>
      <c r="X164" s="83"/>
    </row>
    <row r="165" spans="2:24" x14ac:dyDescent="0.35">
      <c r="B165" s="2">
        <v>2021</v>
      </c>
      <c r="C165" s="24"/>
      <c r="D165" s="27">
        <f>Model!N7</f>
        <v>180.74944582182781</v>
      </c>
      <c r="E165" s="24"/>
      <c r="F165" s="3">
        <f>Model!O7</f>
        <v>7013.433732908994</v>
      </c>
      <c r="G165" s="24"/>
      <c r="H165" s="3">
        <f>Model!P7</f>
        <v>38.801965345013699</v>
      </c>
      <c r="I165" s="24"/>
      <c r="J165" s="69">
        <f>Model!Q7/10000</f>
        <v>22.325759762512398</v>
      </c>
      <c r="K165" s="70"/>
      <c r="L165" s="69">
        <f>Model!R7/1000</f>
        <v>15.908617260943725</v>
      </c>
      <c r="M165" s="78">
        <f t="shared" ref="M165:M174" si="8">J4/1000</f>
        <v>16.046639829305789</v>
      </c>
      <c r="N165" s="24"/>
      <c r="O165" s="26">
        <f>Model!S7</f>
        <v>88.014749857797668</v>
      </c>
      <c r="P165" s="73"/>
      <c r="Q165" s="72">
        <f>Model!T7</f>
        <v>2.2683064910553075</v>
      </c>
      <c r="R165" s="75">
        <f t="shared" ref="R165:R174" si="9">C4</f>
        <v>2.3000000000000003</v>
      </c>
      <c r="S165" s="73"/>
      <c r="T165" s="26">
        <f>Model!U7</f>
        <v>31.832851942057548</v>
      </c>
      <c r="U165" s="76">
        <f t="shared" ref="U165:U174" si="10">D4</f>
        <v>32</v>
      </c>
      <c r="V165" s="77">
        <f t="shared" ref="V165:V174" si="11">E4/100</f>
        <v>0</v>
      </c>
      <c r="W165" s="77">
        <f t="shared" ref="W165:W174" si="12">F4/100</f>
        <v>0</v>
      </c>
      <c r="X165" s="84">
        <f t="shared" ref="X165:X174" si="13">L4/100</f>
        <v>2.325212532239429E-2</v>
      </c>
    </row>
    <row r="166" spans="2:24" x14ac:dyDescent="0.35">
      <c r="B166" s="2">
        <v>2022</v>
      </c>
      <c r="C166" s="24"/>
      <c r="D166" s="27">
        <f>Model!N8</f>
        <v>181.50201202721036</v>
      </c>
      <c r="E166" s="24"/>
      <c r="F166" s="3">
        <f>Model!O8</f>
        <v>6972.400954736675</v>
      </c>
      <c r="G166" s="24"/>
      <c r="H166" s="3">
        <f>Model!P8</f>
        <v>38.415006406052342</v>
      </c>
      <c r="I166" s="24"/>
      <c r="J166" s="69">
        <f>Model!Q8/10000</f>
        <v>22.087979268611662</v>
      </c>
      <c r="K166" s="70"/>
      <c r="L166" s="69">
        <f>Model!R8/1000</f>
        <v>16.138509319933469</v>
      </c>
      <c r="M166" s="78">
        <f t="shared" si="8"/>
        <v>16.3878555863893</v>
      </c>
      <c r="N166" s="24"/>
      <c r="O166" s="26">
        <f>Model!S8</f>
        <v>88.916421034021482</v>
      </c>
      <c r="P166" s="73"/>
      <c r="Q166" s="72">
        <f>Model!T8</f>
        <v>2.3146272603513758</v>
      </c>
      <c r="R166" s="75">
        <f t="shared" si="9"/>
        <v>2.3000000000000003</v>
      </c>
      <c r="S166" s="73"/>
      <c r="T166" s="26">
        <f>Model!U8</f>
        <v>31.679158172345602</v>
      </c>
      <c r="U166" s="76">
        <f t="shared" si="10"/>
        <v>31</v>
      </c>
      <c r="V166" s="77">
        <f t="shared" si="11"/>
        <v>0.1</v>
      </c>
      <c r="W166" s="77">
        <f t="shared" si="12"/>
        <v>0.05</v>
      </c>
      <c r="X166" s="84">
        <f t="shared" si="13"/>
        <v>7.2327200507321887E-2</v>
      </c>
    </row>
    <row r="167" spans="2:24" x14ac:dyDescent="0.35">
      <c r="B167" s="2">
        <v>2023</v>
      </c>
      <c r="C167" s="24"/>
      <c r="D167" s="27">
        <f>Model!N9</f>
        <v>182.25771160813886</v>
      </c>
      <c r="E167" s="24"/>
      <c r="F167" s="3">
        <f>Model!O9</f>
        <v>6931.8051961490728</v>
      </c>
      <c r="G167" s="24"/>
      <c r="H167" s="3">
        <f>Model!P9</f>
        <v>38.032987109224344</v>
      </c>
      <c r="I167" s="24"/>
      <c r="J167" s="69">
        <f>Model!Q9/10000</f>
        <v>21.852731255749919</v>
      </c>
      <c r="K167" s="70"/>
      <c r="L167" s="69">
        <f>Model!R9/1000</f>
        <v>16.37172350038227</v>
      </c>
      <c r="M167" s="78">
        <f t="shared" si="8"/>
        <v>16.91824355283865</v>
      </c>
      <c r="N167" s="24"/>
      <c r="O167" s="26">
        <f>Model!S9</f>
        <v>89.827329422318812</v>
      </c>
      <c r="P167" s="73"/>
      <c r="Q167" s="72">
        <f>Model!T9</f>
        <v>2.361826831122936</v>
      </c>
      <c r="R167" s="75">
        <f t="shared" si="9"/>
        <v>2.4000000000000004</v>
      </c>
      <c r="S167" s="73"/>
      <c r="T167" s="26">
        <f>Model!U9</f>
        <v>31.525310705341354</v>
      </c>
      <c r="U167" s="76">
        <f t="shared" si="10"/>
        <v>31</v>
      </c>
      <c r="V167" s="77">
        <f t="shared" si="11"/>
        <v>0.1</v>
      </c>
      <c r="W167" s="77">
        <f t="shared" si="12"/>
        <v>0.05</v>
      </c>
      <c r="X167" s="84">
        <f t="shared" si="13"/>
        <v>8.3982930947618772E-2</v>
      </c>
    </row>
    <row r="168" spans="2:24" x14ac:dyDescent="0.35">
      <c r="B168" s="2">
        <v>2024</v>
      </c>
      <c r="C168" s="24"/>
      <c r="D168" s="27">
        <f>Model!N10</f>
        <v>183.01655761069784</v>
      </c>
      <c r="E168" s="24"/>
      <c r="F168" s="3">
        <f>Model!O10</f>
        <v>6891.6418026693082</v>
      </c>
      <c r="G168" s="24"/>
      <c r="H168" s="3">
        <f>Model!P10</f>
        <v>37.655837770311507</v>
      </c>
      <c r="I168" s="24"/>
      <c r="J168" s="69">
        <f>Model!Q10/10000</f>
        <v>21.619988751739047</v>
      </c>
      <c r="K168" s="70"/>
      <c r="L168" s="69">
        <f>Model!R10/1000</f>
        <v>16.608307809563794</v>
      </c>
      <c r="M168" s="78">
        <f t="shared" si="8"/>
        <v>17.29599100139124</v>
      </c>
      <c r="N168" s="24"/>
      <c r="O168" s="26">
        <f>Model!S10</f>
        <v>90.747569653736022</v>
      </c>
      <c r="P168" s="73"/>
      <c r="Q168" s="72">
        <f>Model!T10</f>
        <v>2.4099203477364384</v>
      </c>
      <c r="R168" s="75">
        <f t="shared" si="9"/>
        <v>2.4000000000000004</v>
      </c>
      <c r="S168" s="73"/>
      <c r="T168" s="26">
        <f>Model!U10</f>
        <v>31.371318142746588</v>
      </c>
      <c r="U168" s="76">
        <f t="shared" si="10"/>
        <v>30</v>
      </c>
      <c r="V168" s="77">
        <f t="shared" si="11"/>
        <v>0.1</v>
      </c>
      <c r="W168" s="77">
        <f t="shared" si="12"/>
        <v>0.05</v>
      </c>
      <c r="X168" s="84">
        <f t="shared" si="13"/>
        <v>7.3444208007850342E-2</v>
      </c>
    </row>
    <row r="169" spans="2:24" x14ac:dyDescent="0.35">
      <c r="B169" s="2">
        <v>2025</v>
      </c>
      <c r="C169" s="24"/>
      <c r="D169" s="27">
        <f>Model!N11</f>
        <v>183.77856313529031</v>
      </c>
      <c r="E169" s="24"/>
      <c r="F169" s="3">
        <f>Model!O11</f>
        <v>6851.9061693929998</v>
      </c>
      <c r="G169" s="24"/>
      <c r="H169" s="3">
        <f>Model!P11</f>
        <v>37.283489719902235</v>
      </c>
      <c r="I169" s="24"/>
      <c r="J169" s="69">
        <f>Model!Q11/10000</f>
        <v>21.389725071658209</v>
      </c>
      <c r="K169" s="70"/>
      <c r="L169" s="69">
        <f>Model!R11/1000</f>
        <v>16.848310948494646</v>
      </c>
      <c r="M169" s="78">
        <f t="shared" si="8"/>
        <v>17.824770893048509</v>
      </c>
      <c r="N169" s="24"/>
      <c r="O169" s="26">
        <f>Model!S11</f>
        <v>91.677237328771611</v>
      </c>
      <c r="P169" s="73"/>
      <c r="Q169" s="72">
        <f>Model!T11</f>
        <v>2.4589231860405372</v>
      </c>
      <c r="R169" s="75">
        <f t="shared" si="9"/>
        <v>2.5000000000000004</v>
      </c>
      <c r="S169" s="73"/>
      <c r="T169" s="26">
        <f>Model!U11</f>
        <v>31.217189119145647</v>
      </c>
      <c r="U169" s="76">
        <f t="shared" si="10"/>
        <v>30</v>
      </c>
      <c r="V169" s="77">
        <f t="shared" si="11"/>
        <v>0.1</v>
      </c>
      <c r="W169" s="77">
        <f t="shared" si="12"/>
        <v>0.05</v>
      </c>
      <c r="X169" s="84">
        <f t="shared" si="13"/>
        <v>8.2101016136945967E-2</v>
      </c>
    </row>
    <row r="170" spans="2:24" x14ac:dyDescent="0.35">
      <c r="B170" s="2">
        <v>2026</v>
      </c>
      <c r="C170" s="24"/>
      <c r="D170" s="27">
        <f>Model!N12</f>
        <v>184.54374133686397</v>
      </c>
      <c r="E170" s="24"/>
      <c r="F170" s="3">
        <f>Model!O12</f>
        <v>6812.593740460301</v>
      </c>
      <c r="G170" s="24"/>
      <c r="H170" s="3">
        <f>Model!P12</f>
        <v>36.915875288475227</v>
      </c>
      <c r="I170" s="24"/>
      <c r="J170" s="69">
        <f>Model!Q12/10000</f>
        <v>21.161913814794289</v>
      </c>
      <c r="K170" s="70"/>
      <c r="L170" s="69">
        <f>Model!R12/1000</f>
        <v>17.091782321959517</v>
      </c>
      <c r="M170" s="78">
        <f t="shared" si="8"/>
        <v>18.340325306155055</v>
      </c>
      <c r="N170" s="24"/>
      <c r="O170" s="26">
        <f>Model!S12</f>
        <v>92.616429027307831</v>
      </c>
      <c r="P170" s="73"/>
      <c r="Q170" s="72">
        <f>Model!T12</f>
        <v>2.5088509564940957</v>
      </c>
      <c r="R170" s="75">
        <f t="shared" si="9"/>
        <v>2.6000000000000005</v>
      </c>
      <c r="S170" s="73"/>
      <c r="T170" s="26">
        <f>Model!U12</f>
        <v>31.062932300091123</v>
      </c>
      <c r="U170" s="76">
        <f t="shared" si="10"/>
        <v>30</v>
      </c>
      <c r="V170" s="77">
        <f t="shared" si="11"/>
        <v>0.1</v>
      </c>
      <c r="W170" s="77">
        <f t="shared" si="12"/>
        <v>0.05</v>
      </c>
      <c r="X170" s="84">
        <f t="shared" si="13"/>
        <v>8.0369654511127001E-2</v>
      </c>
    </row>
    <row r="171" spans="2:24" x14ac:dyDescent="0.35">
      <c r="B171" s="2">
        <v>2027</v>
      </c>
      <c r="C171" s="24"/>
      <c r="D171" s="27">
        <f>Model!N13</f>
        <v>185.31210542513833</v>
      </c>
      <c r="E171" s="24"/>
      <c r="F171" s="3">
        <f>Model!O13</f>
        <v>6773.7000085335503</v>
      </c>
      <c r="G171" s="24"/>
      <c r="H171" s="3">
        <f>Model!P13</f>
        <v>36.552927791703084</v>
      </c>
      <c r="I171" s="24"/>
      <c r="J171" s="69">
        <f>Model!Q13/10000</f>
        <v>20.936528861614967</v>
      </c>
      <c r="K171" s="70"/>
      <c r="L171" s="69">
        <f>Model!R13/1000</f>
        <v>17.338772048681165</v>
      </c>
      <c r="M171" s="78">
        <f t="shared" si="8"/>
        <v>18.842875975453477</v>
      </c>
      <c r="N171" s="24"/>
      <c r="O171" s="26">
        <f>Model!S13</f>
        <v>93.565242318643953</v>
      </c>
      <c r="P171" s="73"/>
      <c r="Q171" s="72">
        <f>Model!T13</f>
        <v>2.5597195073353802</v>
      </c>
      <c r="R171" s="75">
        <f t="shared" si="9"/>
        <v>2.7000000000000006</v>
      </c>
      <c r="S171" s="73"/>
      <c r="T171" s="26">
        <f>Model!U13</f>
        <v>30.90855638017479</v>
      </c>
      <c r="U171" s="76">
        <f t="shared" si="10"/>
        <v>30</v>
      </c>
      <c r="V171" s="77">
        <f t="shared" si="11"/>
        <v>0.1</v>
      </c>
      <c r="W171" s="77">
        <f t="shared" si="12"/>
        <v>0.05</v>
      </c>
      <c r="X171" s="84">
        <f t="shared" si="13"/>
        <v>7.8771474548832154E-2</v>
      </c>
    </row>
    <row r="172" spans="2:24" x14ac:dyDescent="0.35">
      <c r="B172" s="2">
        <v>2028</v>
      </c>
      <c r="C172" s="24"/>
      <c r="D172" s="27">
        <f>Model!N14</f>
        <v>186.08366866483269</v>
      </c>
      <c r="E172" s="24"/>
      <c r="F172" s="3">
        <f>Model!O14</f>
        <v>6735.2205142804805</v>
      </c>
      <c r="G172" s="24"/>
      <c r="H172" s="3">
        <f>Model!P14</f>
        <v>36.194581515972374</v>
      </c>
      <c r="I172" s="24"/>
      <c r="J172" s="69">
        <f>Model!Q14/10000</f>
        <v>20.713544370773992</v>
      </c>
      <c r="K172" s="70"/>
      <c r="L172" s="69">
        <f>Model!R14/1000</f>
        <v>17.589330971637402</v>
      </c>
      <c r="M172" s="78">
        <f t="shared" si="8"/>
        <v>19.285024069341304</v>
      </c>
      <c r="N172" s="24"/>
      <c r="O172" s="26">
        <f>Model!S14</f>
        <v>94.523775771632501</v>
      </c>
      <c r="P172" s="73"/>
      <c r="Q172" s="72">
        <f>Model!T14</f>
        <v>2.6115449277931266</v>
      </c>
      <c r="R172" s="75">
        <f t="shared" si="9"/>
        <v>2.7000000000000006</v>
      </c>
      <c r="S172" s="73"/>
      <c r="T172" s="26">
        <f>Model!U14</f>
        <v>30.754070081084503</v>
      </c>
      <c r="U172" s="76">
        <f t="shared" si="10"/>
        <v>29</v>
      </c>
      <c r="V172" s="77">
        <f t="shared" si="11"/>
        <v>0.1</v>
      </c>
      <c r="W172" s="77">
        <f t="shared" si="12"/>
        <v>0.05</v>
      </c>
      <c r="X172" s="84">
        <f t="shared" si="13"/>
        <v>7.4638250508415105E-2</v>
      </c>
    </row>
    <row r="173" spans="2:24" x14ac:dyDescent="0.35">
      <c r="B173" s="2">
        <v>2029</v>
      </c>
      <c r="C173" s="24"/>
      <c r="D173" s="27">
        <f>Model!N15</f>
        <v>186.85844437589517</v>
      </c>
      <c r="E173" s="24"/>
      <c r="F173" s="3">
        <f>Model!O15</f>
        <v>6697.1508458629414</v>
      </c>
      <c r="G173" s="24"/>
      <c r="H173" s="3">
        <f>Model!P15</f>
        <v>35.840771704117202</v>
      </c>
      <c r="I173" s="24"/>
      <c r="J173" s="69">
        <f>Model!Q15/10000</f>
        <v>20.492934776148342</v>
      </c>
      <c r="K173" s="70"/>
      <c r="L173" s="69">
        <f>Model!R15/1000</f>
        <v>17.843510668527156</v>
      </c>
      <c r="M173" s="78">
        <f t="shared" si="8"/>
        <v>20.492934776148349</v>
      </c>
      <c r="N173" s="24"/>
      <c r="O173" s="26">
        <f>Model!S15</f>
        <v>95.492128964919161</v>
      </c>
      <c r="P173" s="73"/>
      <c r="Q173" s="72">
        <f>Model!T15</f>
        <v>2.6643435513401492</v>
      </c>
      <c r="R173" s="75">
        <f t="shared" si="9"/>
        <v>2.8000000000000007</v>
      </c>
      <c r="S173" s="73"/>
      <c r="T173" s="26">
        <f>Model!U15</f>
        <v>30.59948214964805</v>
      </c>
      <c r="U173" s="76">
        <f t="shared" si="10"/>
        <v>28</v>
      </c>
      <c r="V173" s="77">
        <f t="shared" si="11"/>
        <v>0.1</v>
      </c>
      <c r="W173" s="77">
        <f t="shared" si="12"/>
        <v>0.05</v>
      </c>
      <c r="X173" s="84">
        <f t="shared" si="13"/>
        <v>0.11576638108342883</v>
      </c>
    </row>
    <row r="174" spans="2:24" x14ac:dyDescent="0.35">
      <c r="B174" s="2">
        <v>2030</v>
      </c>
      <c r="C174" s="24"/>
      <c r="D174" s="27">
        <f>Model!N16</f>
        <v>187.63644593373272</v>
      </c>
      <c r="E174" s="24"/>
      <c r="F174" s="3">
        <f>Model!O16</f>
        <v>6659.4866384310653</v>
      </c>
      <c r="G174" s="24"/>
      <c r="H174" s="3">
        <f>Model!P16</f>
        <v>35.491434541362963</v>
      </c>
      <c r="I174" s="24"/>
      <c r="J174" s="69">
        <f>Model!Q16/10000</f>
        <v>20.274674783906995</v>
      </c>
      <c r="K174" s="70"/>
      <c r="L174" s="69">
        <f>Model!R16/1000</f>
        <v>18.101363462387749</v>
      </c>
      <c r="M174" s="78">
        <f t="shared" si="8"/>
        <v>21.776502545677889</v>
      </c>
      <c r="N174" s="24"/>
      <c r="O174" s="26">
        <f>Model!S16</f>
        <v>96.470402497287651</v>
      </c>
      <c r="P174" s="73"/>
      <c r="Q174" s="72">
        <f>Model!T16</f>
        <v>2.7181319589902082</v>
      </c>
      <c r="R174" s="75">
        <f t="shared" si="9"/>
        <v>2.9000000000000008</v>
      </c>
      <c r="S174" s="73"/>
      <c r="T174" s="26">
        <f>Model!U16</f>
        <v>30.44480135586485</v>
      </c>
      <c r="U174" s="76">
        <f t="shared" si="10"/>
        <v>27</v>
      </c>
      <c r="V174" s="77">
        <f t="shared" si="11"/>
        <v>0.1</v>
      </c>
      <c r="W174" s="77">
        <f t="shared" si="12"/>
        <v>0.05</v>
      </c>
      <c r="X174" s="84">
        <f t="shared" si="13"/>
        <v>0.11576638108342863</v>
      </c>
    </row>
    <row r="178" spans="2:18" x14ac:dyDescent="0.35">
      <c r="B178" s="1" t="s">
        <v>130</v>
      </c>
      <c r="C178" s="97">
        <v>2.5</v>
      </c>
      <c r="D178" s="116" t="s">
        <v>122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O178" s="9" t="s">
        <v>154</v>
      </c>
    </row>
    <row r="179" spans="2:18" x14ac:dyDescent="0.35">
      <c r="D179" s="24">
        <v>2021</v>
      </c>
      <c r="E179" s="24">
        <v>2022</v>
      </c>
      <c r="F179" s="24">
        <v>2023</v>
      </c>
      <c r="G179" s="24">
        <v>2024</v>
      </c>
      <c r="H179" s="24">
        <v>2025</v>
      </c>
      <c r="I179" s="24">
        <v>2026</v>
      </c>
      <c r="J179" s="24">
        <v>2027</v>
      </c>
      <c r="K179" s="24">
        <v>2028</v>
      </c>
      <c r="L179" s="24">
        <v>2029</v>
      </c>
      <c r="M179" s="24">
        <v>2030</v>
      </c>
      <c r="O179" s="13" t="s">
        <v>150</v>
      </c>
      <c r="P179" s="97">
        <v>10</v>
      </c>
    </row>
    <row r="180" spans="2:18" x14ac:dyDescent="0.35">
      <c r="B180" s="115" t="s">
        <v>106</v>
      </c>
      <c r="C180" s="96">
        <v>23</v>
      </c>
      <c r="D180" s="47">
        <f>VLOOKUP($C180,Interactive_Chart!$B$73:$K$82,MATCH($C$178,Interactive_Chart!$C$72:$K$72,0)+1,FALSE)</f>
        <v>54.745122922101189</v>
      </c>
      <c r="E180" s="47">
        <f>VLOOKUP($C180,Interactive_Chart!$M$73:$V$82,MATCH($C$178,Interactive_Chart!$C$72:$K$72,0)+1,FALSE)</f>
        <v>57.098975499654884</v>
      </c>
      <c r="F180" s="47">
        <f>VLOOKUP($C180,Interactive_Chart!$X$73:$AG$82,MATCH($C$178,Interactive_Chart!$C$72:$K$72,0)+1,FALSE)</f>
        <v>52.189632515290654</v>
      </c>
      <c r="G180" s="47">
        <f>VLOOKUP($C180,Interactive_Chart!$B$87:$K$96,MATCH($C$178,Interactive_Chart!$C$72:$K$72,0)+1,FALSE)</f>
        <v>45.848397827153555</v>
      </c>
      <c r="H180" s="47">
        <f>VLOOKUP($C180,Interactive_Chart!$M$87:$V$96,MATCH($C$178,Interactive_Chart!$C$72:$K$72,0)+1,FALSE)</f>
        <v>41.143610800471194</v>
      </c>
      <c r="I180" s="47">
        <f>VLOOKUP($C180,Interactive_Chart!$X$87:$AG$96,MATCH($C$178,Interactive_Chart!$C$72:$K$72,0)+1,FALSE)</f>
        <v>35.497866368452314</v>
      </c>
      <c r="J180" s="47">
        <f>VLOOKUP($C180,Interactive_Chart!$B$101:$K$110,MATCH($C$178,Interactive_Chart!$C$72:$K$72,0)+1,FALSE)</f>
        <v>30.286409969665694</v>
      </c>
      <c r="K180" s="47">
        <f>VLOOKUP($C180,Interactive_Chart!$M$101:$V$110,MATCH($C$178,Interactive_Chart!$C$72:$K$72,0)+1,FALSE)</f>
        <v>25.460987378196599</v>
      </c>
      <c r="L180" s="47">
        <f>VLOOKUP($C180,Interactive_Chart!$X$101:$AG$110,MATCH($C$178,Interactive_Chart!$C$72:$K$72,0)+1,FALSE)</f>
        <v>21.278954465590051</v>
      </c>
      <c r="M180" s="47">
        <f>VLOOKUP($C180,Interactive_Chart!$B$115:$K$124,MATCH($C$178,Interactive_Chart!$C$72:$K$72,0)+1,FALSE)</f>
        <v>12.914888640376931</v>
      </c>
      <c r="O180">
        <v>2021</v>
      </c>
    </row>
    <row r="181" spans="2:18" x14ac:dyDescent="0.35">
      <c r="B181" s="115"/>
      <c r="C181" s="96">
        <v>24</v>
      </c>
      <c r="D181" s="47">
        <f>VLOOKUP(C181,Interactive_Chart!$B$73:$K$82,MATCH($C$178,Interactive_Chart!$C$72:$K$72,0)+1,FALSE)</f>
        <v>48.297409467013665</v>
      </c>
      <c r="E181" s="47">
        <f>VLOOKUP($C181,Interactive_Chart!$M$73:$V$82,MATCH($C$178,Interactive_Chart!$C$72:$K$72,0)+1,FALSE)</f>
        <v>50.55318485383593</v>
      </c>
      <c r="F181" s="47">
        <f>VLOOKUP($C181,Interactive_Chart!$X$73:$AG$82,MATCH($C$178,Interactive_Chart!$C$72:$K$72,0)+1,FALSE)</f>
        <v>45.848397827153555</v>
      </c>
      <c r="G181" s="47">
        <f>VLOOKUP($C181,Interactive_Chart!$B$87:$K$96,MATCH($C$178,Interactive_Chart!$C$72:$K$72,0)+1,FALSE)</f>
        <v>39.771381251022156</v>
      </c>
      <c r="H181" s="47">
        <f>VLOOKUP($C181,Interactive_Chart!$M$87:$V$96,MATCH($C$178,Interactive_Chart!$C$72:$K$72,0)+1,FALSE)</f>
        <v>35.26262701711822</v>
      </c>
      <c r="I181" s="47">
        <f>VLOOKUP($C181,Interactive_Chart!$X$87:$AG$96,MATCH($C$178,Interactive_Chart!$C$72:$K$72,0)+1,FALSE)</f>
        <v>29.852121936433473</v>
      </c>
      <c r="J181" s="47">
        <f>VLOOKUP($C181,Interactive_Chart!$B$101:$K$110,MATCH($C$178,Interactive_Chart!$C$72:$K$72,0)+1,FALSE)</f>
        <v>24.857809554262932</v>
      </c>
      <c r="K181" s="47">
        <f>VLOOKUP($C181,Interactive_Chart!$M$101:$V$110,MATCH($C$178,Interactive_Chart!$C$72:$K$72,0)+1,FALSE)</f>
        <v>20.233446237438415</v>
      </c>
      <c r="L181" s="47">
        <f>VLOOKUP($C181,Interactive_Chart!$X$101:$AG$110,MATCH($C$178,Interactive_Chart!$C$72:$K$72,0)+1,FALSE)</f>
        <v>16.225664696190488</v>
      </c>
      <c r="M181" s="47">
        <f>VLOOKUP($C181,Interactive_Chart!$B$115:$K$124,MATCH($C$178,Interactive_Chart!$C$72:$K$72,0)+1,FALSE)</f>
        <v>8.2101016136945759</v>
      </c>
      <c r="O181" s="117" t="s">
        <v>130</v>
      </c>
      <c r="P181" s="98">
        <v>2.2000000000000002</v>
      </c>
      <c r="Q181" s="27">
        <v>28.473102470337569</v>
      </c>
      <c r="R181" s="115" t="s">
        <v>106</v>
      </c>
    </row>
    <row r="182" spans="2:18" x14ac:dyDescent="0.35">
      <c r="B182" s="115"/>
      <c r="C182" s="96">
        <v>25</v>
      </c>
      <c r="D182" s="47">
        <f>VLOOKUP(C182,Interactive_Chart!$B$73:$K$82,MATCH($C$178,Interactive_Chart!$C$72:$K$72,0)+1,FALSE)</f>
        <v>42.365513088333095</v>
      </c>
      <c r="E182" s="47">
        <f>VLOOKUP($C182,Interactive_Chart!$M$73:$V$82,MATCH($C$178,Interactive_Chart!$C$72:$K$72,0)+1,FALSE)</f>
        <v>44.531057459682508</v>
      </c>
      <c r="F182" s="47">
        <f>VLOOKUP($C182,Interactive_Chart!$X$73:$AG$82,MATCH($C$178,Interactive_Chart!$C$72:$K$72,0)+1,FALSE)</f>
        <v>40.014461914067411</v>
      </c>
      <c r="G182" s="47">
        <f>VLOOKUP($C182,Interactive_Chart!$B$87:$K$96,MATCH($C$178,Interactive_Chart!$C$72:$K$72,0)+1,FALSE)</f>
        <v>34.180526000981246</v>
      </c>
      <c r="H182" s="47">
        <f>VLOOKUP($C182,Interactive_Chart!$M$87:$V$96,MATCH($C$178,Interactive_Chart!$C$72:$K$72,0)+1,FALSE)</f>
        <v>29.852121936433495</v>
      </c>
      <c r="I182" s="47">
        <f>VLOOKUP($C182,Interactive_Chart!$X$87:$AG$96,MATCH($C$178,Interactive_Chart!$C$72:$K$72,0)+1,FALSE)</f>
        <v>24.658037058976134</v>
      </c>
      <c r="J182" s="47">
        <f>VLOOKUP($C182,Interactive_Chart!$B$101:$K$110,MATCH($C$178,Interactive_Chart!$C$72:$K$72,0)+1,FALSE)</f>
        <v>19.863497172092437</v>
      </c>
      <c r="K182" s="47">
        <f>VLOOKUP($C182,Interactive_Chart!$M$101:$V$110,MATCH($C$178,Interactive_Chart!$C$72:$K$72,0)+1,FALSE)</f>
        <v>15.424108387940883</v>
      </c>
      <c r="L182" s="47">
        <f>VLOOKUP($C182,Interactive_Chart!$X$101:$AG$110,MATCH($C$178,Interactive_Chart!$C$72:$K$72,0)+1,FALSE)</f>
        <v>11.576638108342841</v>
      </c>
      <c r="M182" s="47">
        <f>VLOOKUP($C182,Interactive_Chart!$B$115:$K$124,MATCH($C$178,Interactive_Chart!$C$72:$K$72,0)+1,FALSE)</f>
        <v>3.8816975491467787</v>
      </c>
      <c r="O182" s="118"/>
      <c r="P182" s="98">
        <v>2.2999999999999998</v>
      </c>
      <c r="Q182" s="27">
        <v>29.767334517361284</v>
      </c>
      <c r="R182" s="115"/>
    </row>
    <row r="183" spans="2:18" x14ac:dyDescent="0.35">
      <c r="B183" s="115"/>
      <c r="C183" s="96">
        <v>26</v>
      </c>
      <c r="D183" s="47">
        <f>VLOOKUP(C183,Interactive_Chart!$B$73:$K$82,MATCH($C$178,Interactive_Chart!$C$72:$K$72,0)+1,FALSE)</f>
        <v>36.889916431089517</v>
      </c>
      <c r="E183" s="47">
        <f>VLOOKUP($C183,Interactive_Chart!$M$73:$V$82,MATCH($C$178,Interactive_Chart!$C$72:$K$72,0)+1,FALSE)</f>
        <v>38.972170634310132</v>
      </c>
      <c r="F183" s="47">
        <f>VLOOKUP($C183,Interactive_Chart!$X$73:$AG$82,MATCH($C$178,Interactive_Chart!$C$72:$K$72,0)+1,FALSE)</f>
        <v>34.629290301987893</v>
      </c>
      <c r="G183" s="47">
        <f>VLOOKUP($C183,Interactive_Chart!$B$87:$K$96,MATCH($C$178,Interactive_Chart!$C$72:$K$72,0)+1,FALSE)</f>
        <v>29.019736539405084</v>
      </c>
      <c r="H183" s="47">
        <f>VLOOKUP($C183,Interactive_Chart!$M$87:$V$96,MATCH($C$178,Interactive_Chart!$C$72:$K$72,0)+1,FALSE)</f>
        <v>24.857809554262978</v>
      </c>
      <c r="I183" s="47">
        <f>VLOOKUP($C183,Interactive_Chart!$X$87:$AG$96,MATCH($C$178,Interactive_Chart!$C$72:$K$72,0)+1,FALSE)</f>
        <v>19.863497172092458</v>
      </c>
      <c r="J183" s="47">
        <f>VLOOKUP($C183,Interactive_Chart!$B$101:$K$110,MATCH($C$178,Interactive_Chart!$C$72:$K$72,0)+1,FALSE)</f>
        <v>15.25336266547348</v>
      </c>
      <c r="K183" s="47">
        <f>VLOOKUP($C183,Interactive_Chart!$M$101:$V$110,MATCH($C$178,Interactive_Chart!$C$72:$K$72,0)+1,FALSE)</f>
        <v>10.984719603789305</v>
      </c>
      <c r="L183" s="47">
        <f>VLOOKUP($C183,Interactive_Chart!$X$101:$AG$110,MATCH($C$178,Interactive_Chart!$C$72:$K$72,0)+1,FALSE)</f>
        <v>7.2852289503296586</v>
      </c>
      <c r="M183" s="47">
        <f>VLOOKUP($C183,Interactive_Chart!$B$115:$K$124,MATCH($C$178,Interactive_Chart!$C$72:$K$72,0)+1,FALSE)</f>
        <v>-0.113752356589647</v>
      </c>
      <c r="O183" s="118"/>
      <c r="P183" s="98">
        <v>2.4</v>
      </c>
      <c r="Q183" s="27">
        <v>31.061566521353988</v>
      </c>
      <c r="R183" s="115"/>
    </row>
    <row r="184" spans="2:18" x14ac:dyDescent="0.35">
      <c r="B184" s="115"/>
      <c r="C184" s="96">
        <v>27</v>
      </c>
      <c r="D184" s="47">
        <f>VLOOKUP(C184,Interactive_Chart!$B$73:$K$82,MATCH($C$178,Interactive_Chart!$C$72:$K$72,0)+1,FALSE)</f>
        <v>31.81991952623433</v>
      </c>
      <c r="E184" s="47">
        <f>VLOOKUP($C184,Interactive_Chart!$M$73:$V$82,MATCH($C$178,Interactive_Chart!$C$72:$K$72,0)+1,FALSE)</f>
        <v>33.825053203409738</v>
      </c>
      <c r="F184" s="47">
        <f>VLOOKUP($C184,Interactive_Chart!$X$73:$AG$82,MATCH($C$178,Interactive_Chart!$C$72:$K$72,0)+1,FALSE)</f>
        <v>29.643020290803122</v>
      </c>
      <c r="G184" s="47">
        <f>VLOOKUP($C184,Interactive_Chart!$B$87:$K$96,MATCH($C$178,Interactive_Chart!$C$72:$K$72,0)+1,FALSE)</f>
        <v>24.24122777868638</v>
      </c>
      <c r="H184" s="47">
        <f>VLOOKUP($C184,Interactive_Chart!$M$87:$V$96,MATCH($C$178,Interactive_Chart!$C$72:$K$72,0)+1,FALSE)</f>
        <v>20.233446237438436</v>
      </c>
      <c r="I184" s="47">
        <f>VLOOKUP($C184,Interactive_Chart!$X$87:$AG$96,MATCH($C$178,Interactive_Chart!$C$72:$K$72,0)+1,FALSE)</f>
        <v>15.424108387940905</v>
      </c>
      <c r="J184" s="47">
        <f>VLOOKUP($C184,Interactive_Chart!$B$101:$K$110,MATCH($C$178,Interactive_Chart!$C$72:$K$72,0)+1,FALSE)</f>
        <v>10.984719603789262</v>
      </c>
      <c r="K184" s="47">
        <f>VLOOKUP($C184,Interactive_Chart!$M$101:$V$110,MATCH($C$178,Interactive_Chart!$C$72:$K$72,0)+1,FALSE)</f>
        <v>6.8741744332785792</v>
      </c>
      <c r="L184" s="47">
        <f>VLOOKUP($C184,Interactive_Chart!$X$101:$AG$110,MATCH($C$178,Interactive_Chart!$C$72:$K$72,0)+1,FALSE)</f>
        <v>3.3117019521692992</v>
      </c>
      <c r="M184" s="47">
        <f>VLOOKUP($C184,Interactive_Chart!$B$115:$K$124,MATCH($C$178,Interactive_Chart!$C$72:$K$72,0)+1,FALSE)</f>
        <v>-3.8132430100492831</v>
      </c>
      <c r="O184" s="118"/>
      <c r="P184" s="98">
        <v>2.5</v>
      </c>
      <c r="Q184" s="27">
        <v>32.355798459960425</v>
      </c>
      <c r="R184" s="115"/>
    </row>
    <row r="185" spans="2:18" x14ac:dyDescent="0.35">
      <c r="B185" s="115"/>
      <c r="C185" s="96">
        <v>28</v>
      </c>
      <c r="D185" s="47">
        <f>VLOOKUP(C185,Interactive_Chart!$B$73:$K$82,MATCH($C$178,Interactive_Chart!$C$72:$K$72,0)+1,FALSE)</f>
        <v>27.112065257440278</v>
      </c>
      <c r="E185" s="47">
        <f>VLOOKUP($C185,Interactive_Chart!$M$73:$V$82,MATCH($C$178,Interactive_Chart!$C$72:$K$72,0)+1,FALSE)</f>
        <v>29.04558701757367</v>
      </c>
      <c r="F185" s="47">
        <f>VLOOKUP($C185,Interactive_Chart!$X$73:$AG$82,MATCH($C$178,Interactive_Chart!$C$72:$K$72,0)+1,FALSE)</f>
        <v>25.012912423274479</v>
      </c>
      <c r="G185" s="47">
        <f>VLOOKUP($C185,Interactive_Chart!$B$87:$K$96,MATCH($C$178,Interactive_Chart!$C$72:$K$72,0)+1,FALSE)</f>
        <v>19.804041072304734</v>
      </c>
      <c r="H185" s="47">
        <f>VLOOKUP($C185,Interactive_Chart!$M$87:$V$96,MATCH($C$178,Interactive_Chart!$C$72:$K$72,0)+1,FALSE)</f>
        <v>15.93939458610134</v>
      </c>
      <c r="I185" s="47">
        <f>VLOOKUP($C185,Interactive_Chart!$X$87:$AG$96,MATCH($C$178,Interactive_Chart!$C$72:$K$72,0)+1,FALSE)</f>
        <v>11.301818802657282</v>
      </c>
      <c r="J185" s="47">
        <f>VLOOKUP($C185,Interactive_Chart!$B$101:$K$110,MATCH($C$178,Interactive_Chart!$C$72:$K$72,0)+1,FALSE)</f>
        <v>7.0209796179396822</v>
      </c>
      <c r="K185" s="47">
        <f>VLOOKUP($C185,Interactive_Chart!$M$101:$V$110,MATCH($C$178,Interactive_Chart!$C$72:$K$72,0)+1,FALSE)</f>
        <v>3.0572396320900586</v>
      </c>
      <c r="L185" s="47">
        <f>VLOOKUP($C185,Interactive_Chart!$X$101:$AG$110,MATCH($C$178,Interactive_Chart!$C$72:$K$72,0)+1,FALSE)</f>
        <v>-0.37800168897960118</v>
      </c>
      <c r="M185" s="47">
        <f>VLOOKUP($C185,Interactive_Chart!$B$115:$K$124,MATCH($C$178,Interactive_Chart!$C$72:$K$72,0)+1,FALSE)</f>
        <v>-7.2484843311189433</v>
      </c>
      <c r="O185" s="118"/>
      <c r="P185" s="98">
        <v>2.6</v>
      </c>
      <c r="Q185" s="27">
        <v>33.650030396898721</v>
      </c>
      <c r="R185" s="115"/>
    </row>
    <row r="186" spans="2:18" x14ac:dyDescent="0.35">
      <c r="B186" s="115"/>
      <c r="C186" s="96">
        <v>29</v>
      </c>
      <c r="D186" s="47">
        <f>VLOOKUP(C186,Interactive_Chart!$B$73:$K$82,MATCH($C$178,Interactive_Chart!$C$72:$K$72,0)+1,FALSE)</f>
        <v>22.728890593390606</v>
      </c>
      <c r="E186" s="47">
        <f>VLOOKUP($C186,Interactive_Chart!$M$73:$V$82,MATCH($C$178,Interactive_Chart!$C$72:$K$72,0)+1,FALSE)</f>
        <v>24.595739189381472</v>
      </c>
      <c r="F186" s="47">
        <f>VLOOKUP($C186,Interactive_Chart!$X$73:$AG$82,MATCH($C$178,Interactive_Chart!$C$72:$K$72,0)+1,FALSE)</f>
        <v>20.702122339713291</v>
      </c>
      <c r="G186" s="47">
        <f>VLOOKUP($C186,Interactive_Chart!$B$87:$K$96,MATCH($C$178,Interactive_Chart!$C$72:$K$72,0)+1,FALSE)</f>
        <v>15.67286724222523</v>
      </c>
      <c r="H186" s="47">
        <f>VLOOKUP($C186,Interactive_Chart!$M$87:$V$96,MATCH($C$178,Interactive_Chart!$C$72:$K$72,0)+1,FALSE)</f>
        <v>11.941484427959903</v>
      </c>
      <c r="I186" s="47">
        <f>VLOOKUP($C186,Interactive_Chart!$X$87:$AG$96,MATCH($C$178,Interactive_Chart!$C$72:$K$72,0)+1,FALSE)</f>
        <v>7.4638250508415327</v>
      </c>
      <c r="J186" s="47">
        <f>VLOOKUP($C186,Interactive_Chart!$B$101:$K$110,MATCH($C$178,Interactive_Chart!$C$72:$K$72,0)+1,FALSE)</f>
        <v>3.3306010104245054</v>
      </c>
      <c r="K186" s="47">
        <f>VLOOKUP($C186,Interactive_Chart!$M$101:$V$110,MATCH($C$178,Interactive_Chart!$C$72:$K$72,0)+1,FALSE)</f>
        <v>-0.49645828625787258</v>
      </c>
      <c r="L186" s="47">
        <f>VLOOKUP($C186,Interactive_Chart!$X$101:$AG$110,MATCH($C$178,Interactive_Chart!$C$72:$K$72,0)+1,FALSE)</f>
        <v>-3.8132430100492609</v>
      </c>
      <c r="M186" s="47">
        <f>VLOOKUP($C186,Interactive_Chart!$B$115:$K$124,MATCH($C$178,Interactive_Chart!$C$72:$K$72,0)+1,FALSE)</f>
        <v>-10.44681245763207</v>
      </c>
      <c r="O186" s="118"/>
      <c r="P186" s="98">
        <v>2.7</v>
      </c>
      <c r="Q186" s="27">
        <v>34.944262332874686</v>
      </c>
      <c r="R186" s="115"/>
    </row>
    <row r="187" spans="2:18" x14ac:dyDescent="0.35">
      <c r="B187" s="115"/>
      <c r="C187" s="96">
        <v>30</v>
      </c>
      <c r="D187" s="47">
        <f>VLOOKUP(C187,Interactive_Chart!$B$73:$K$82,MATCH($C$178,Interactive_Chart!$C$72:$K$72,0)+1,FALSE)</f>
        <v>18.637927573610934</v>
      </c>
      <c r="E187" s="47">
        <f>VLOOKUP($C187,Interactive_Chart!$M$73:$V$82,MATCH($C$178,Interactive_Chart!$C$72:$K$72,0)+1,FALSE)</f>
        <v>20.44254788306872</v>
      </c>
      <c r="F187" s="47">
        <f>VLOOKUP($C187,Interactive_Chart!$X$73:$AG$82,MATCH($C$178,Interactive_Chart!$C$72:$K$72,0)+1,FALSE)</f>
        <v>16.678718261722846</v>
      </c>
      <c r="G187" s="47">
        <f>VLOOKUP($C187,Interactive_Chart!$B$87:$K$96,MATCH($C$178,Interactive_Chart!$C$72:$K$72,0)+1,FALSE)</f>
        <v>11.817105000817719</v>
      </c>
      <c r="H187" s="47">
        <f>VLOOKUP($C187,Interactive_Chart!$M$87:$V$96,MATCH($C$178,Interactive_Chart!$C$72:$K$72,0)+1,FALSE)</f>
        <v>8.2101016136945972</v>
      </c>
      <c r="I187" s="47">
        <f>VLOOKUP($C187,Interactive_Chart!$X$87:$AG$96,MATCH($C$178,Interactive_Chart!$C$72:$K$72,0)+1,FALSE)</f>
        <v>3.8816975491468009</v>
      </c>
      <c r="J187" s="47">
        <f>VLOOKUP($C187,Interactive_Chart!$B$101:$K$110,MATCH($C$178,Interactive_Chart!$C$72:$K$72,0)+1,FALSE)</f>
        <v>-0.113752356589647</v>
      </c>
      <c r="K187" s="47">
        <f>VLOOKUP($C187,Interactive_Chart!$M$101:$V$110,MATCH($C$178,Interactive_Chart!$C$72:$K$72,0)+1,FALSE)</f>
        <v>-3.8132430100492831</v>
      </c>
      <c r="L187" s="47">
        <f>VLOOKUP($C187,Interactive_Chart!$X$101:$AG$110,MATCH($C$178,Interactive_Chart!$C$72:$K$72,0)+1,FALSE)</f>
        <v>-7.0194682430476218</v>
      </c>
      <c r="M187" s="47">
        <f>VLOOKUP($C187,Interactive_Chart!$B$115:$K$124,MATCH($C$178,Interactive_Chart!$C$72:$K$72,0)+1,FALSE)</f>
        <v>-13.431918709044355</v>
      </c>
      <c r="O187" s="118"/>
      <c r="P187" s="98">
        <v>2.8</v>
      </c>
      <c r="Q187" s="27">
        <v>36.23849426833096</v>
      </c>
      <c r="R187" s="115"/>
    </row>
    <row r="188" spans="2:18" x14ac:dyDescent="0.35">
      <c r="B188" s="115"/>
      <c r="C188" s="96">
        <v>31</v>
      </c>
      <c r="D188" s="47">
        <f>VLOOKUP(C188,Interactive_Chart!$B$73:$K$82,MATCH($C$178,Interactive_Chart!$C$72:$K$72,0)+1,FALSE)</f>
        <v>14.810897651881527</v>
      </c>
      <c r="E188" s="47">
        <f>VLOOKUP($C188,Interactive_Chart!$M$73:$V$82,MATCH($C$178,Interactive_Chart!$C$72:$K$72,0)+1,FALSE)</f>
        <v>16.557304402969763</v>
      </c>
      <c r="F188" s="47">
        <f>VLOOKUP($C188,Interactive_Chart!$X$73:$AG$82,MATCH($C$178,Interactive_Chart!$C$72:$K$72,0)+1,FALSE)</f>
        <v>12.914888640376931</v>
      </c>
      <c r="G188" s="47">
        <f>VLOOKUP($C188,Interactive_Chart!$B$87:$K$96,MATCH($C$178,Interactive_Chart!$C$72:$K$72,0)+1,FALSE)</f>
        <v>8.2101016136945972</v>
      </c>
      <c r="H188" s="47">
        <f>VLOOKUP($C188,Interactive_Chart!$M$87:$V$96,MATCH($C$178,Interactive_Chart!$C$72:$K$72,0)+1,FALSE)</f>
        <v>4.7194531745431423</v>
      </c>
      <c r="I188" s="47">
        <f>VLOOKUP($C188,Interactive_Chart!$X$87:$AG$96,MATCH($C$178,Interactive_Chart!$C$72:$K$72,0)+1,FALSE)</f>
        <v>0.53067504756141304</v>
      </c>
      <c r="J188" s="47">
        <f>VLOOKUP($C188,Interactive_Chart!$B$101:$K$110,MATCH($C$178,Interactive_Chart!$C$72:$K$72,0)+1,FALSE)</f>
        <v>-3.3358893773448139</v>
      </c>
      <c r="K188" s="47">
        <f>VLOOKUP($C188,Interactive_Chart!$M$101:$V$110,MATCH($C$178,Interactive_Chart!$C$72:$K$72,0)+1,FALSE)</f>
        <v>-6.9160416226283328</v>
      </c>
      <c r="L188" s="47">
        <f>VLOOKUP($C188,Interactive_Chart!$X$101:$AG$110,MATCH($C$178,Interactive_Chart!$C$72:$K$72,0)+1,FALSE)</f>
        <v>-10.018840235207371</v>
      </c>
      <c r="M188" s="47">
        <f>VLOOKUP($C188,Interactive_Chart!$B$115:$K$124,MATCH($C$178,Interactive_Chart!$C$72:$K$72,0)+1,FALSE)</f>
        <v>-16.224437460365493</v>
      </c>
      <c r="O188" s="118"/>
      <c r="P188" s="98">
        <v>2.9</v>
      </c>
      <c r="Q188" s="27">
        <v>37.532726203544108</v>
      </c>
      <c r="R188" s="115"/>
    </row>
    <row r="189" spans="2:18" x14ac:dyDescent="0.35">
      <c r="B189" s="115"/>
      <c r="C189" s="96">
        <v>32</v>
      </c>
      <c r="D189" s="47">
        <f>VLOOKUP(C189,Interactive_Chart!$B$73:$K$82,MATCH($C$178,Interactive_Chart!$C$72:$K$72,0)+1,FALSE)</f>
        <v>11.223057100260236</v>
      </c>
      <c r="E189" s="47">
        <f>VLOOKUP($C189,Interactive_Chart!$M$73:$V$82,MATCH($C$178,Interactive_Chart!$C$72:$K$72,0)+1,FALSE)</f>
        <v>12.914888640376931</v>
      </c>
      <c r="F189" s="47">
        <f>VLOOKUP($C189,Interactive_Chart!$X$73:$AG$82,MATCH($C$178,Interactive_Chart!$C$72:$K$72,0)+1,FALSE)</f>
        <v>9.3862983703651537</v>
      </c>
      <c r="G189" s="47">
        <f>VLOOKUP($C189,Interactive_Chart!$B$87:$K$96,MATCH($C$178,Interactive_Chart!$C$72:$K$72,0)+1,FALSE)</f>
        <v>4.8285359382666204</v>
      </c>
      <c r="H189" s="47">
        <f>VLOOKUP($C189,Interactive_Chart!$M$87:$V$96,MATCH($C$178,Interactive_Chart!$C$72:$K$72,0)+1,FALSE)</f>
        <v>1.4469702628386649</v>
      </c>
      <c r="I189" s="47">
        <f>VLOOKUP($C189,Interactive_Chart!$X$87:$AG$96,MATCH($C$178,Interactive_Chart!$C$72:$K$72,0)+1,FALSE)</f>
        <v>-2.6109085476748728</v>
      </c>
      <c r="J189" s="47">
        <f>VLOOKUP($C189,Interactive_Chart!$B$101:$K$110,MATCH($C$178,Interactive_Chart!$C$72:$K$72,0)+1,FALSE)</f>
        <v>-6.3566428343027948</v>
      </c>
      <c r="K189" s="47">
        <f>VLOOKUP($C189,Interactive_Chart!$M$101:$V$110,MATCH($C$178,Interactive_Chart!$C$72:$K$72,0)+1,FALSE)</f>
        <v>-9.8249153219211909</v>
      </c>
      <c r="L189" s="47">
        <f>VLOOKUP($C189,Interactive_Chart!$X$101:$AG$110,MATCH($C$178,Interactive_Chart!$C$72:$K$72,0)+1,FALSE)</f>
        <v>-12.830751477857149</v>
      </c>
      <c r="M189" s="47">
        <f>VLOOKUP($C189,Interactive_Chart!$B$115:$K$124,MATCH($C$178,Interactive_Chart!$C$72:$K$72,0)+1,FALSE)</f>
        <v>-18.842423789729079</v>
      </c>
      <c r="O189" s="119"/>
      <c r="P189" s="98">
        <v>3</v>
      </c>
      <c r="Q189" s="27">
        <v>38.826958138684283</v>
      </c>
      <c r="R189" s="115"/>
    </row>
    <row r="191" spans="2:18" x14ac:dyDescent="0.35">
      <c r="B191" s="1" t="s">
        <v>106</v>
      </c>
      <c r="C191" s="97">
        <v>23</v>
      </c>
      <c r="D191" s="116" t="s">
        <v>122</v>
      </c>
      <c r="E191" s="116"/>
      <c r="F191" s="116"/>
      <c r="G191" s="116"/>
      <c r="H191" s="116"/>
      <c r="I191" s="116"/>
      <c r="J191" s="116"/>
      <c r="K191" s="116"/>
      <c r="L191" s="116"/>
      <c r="M191" s="116"/>
    </row>
    <row r="192" spans="2:18" x14ac:dyDescent="0.35">
      <c r="D192" s="24">
        <v>2021</v>
      </c>
      <c r="E192" s="24">
        <v>2022</v>
      </c>
      <c r="F192" s="24">
        <v>2023</v>
      </c>
      <c r="G192" s="24">
        <v>2024</v>
      </c>
      <c r="H192" s="24">
        <v>2025</v>
      </c>
      <c r="I192" s="24">
        <v>2026</v>
      </c>
      <c r="J192" s="24">
        <v>2027</v>
      </c>
      <c r="K192" s="24">
        <v>2028</v>
      </c>
      <c r="L192" s="24">
        <v>2029</v>
      </c>
      <c r="M192" s="24">
        <v>2030</v>
      </c>
    </row>
    <row r="193" spans="2:13" x14ac:dyDescent="0.35">
      <c r="B193" s="117" t="s">
        <v>130</v>
      </c>
      <c r="C193" s="98">
        <v>2.2000000000000002</v>
      </c>
      <c r="D193" s="47">
        <f>HLOOKUP($C193,Interactive_Chart!$C$72:$K$82,MATCH($C$191,Interactive_Chart!$B$73:$B$82,FALSE)+1,FALSE)</f>
        <v>36.17570817144906</v>
      </c>
      <c r="E193" s="47">
        <f>HLOOKUP($C193,Interactive_Chart!$N$72:$V$82,MATCH($C$191,Interactive_Chart!$B$73:$B$82,FALSE)+1,FALSE)</f>
        <v>38.247098439696316</v>
      </c>
      <c r="F193" s="47">
        <f>HLOOKUP($C193,Interactive_Chart!$Y$72:$AG$82,MATCH($C$191,Interactive_Chart!$B$73:$B$82,FALSE)+1,FALSE)</f>
        <v>33.926876613455789</v>
      </c>
      <c r="G193" s="47">
        <f>HLOOKUP($C193,Interactive_Chart!$C$86:$K$96,MATCH($C$191,Interactive_Chart!$B$73:$B$82,FALSE)+1,FALSE)</f>
        <v>28.346590087895152</v>
      </c>
      <c r="H193" s="47">
        <f>HLOOKUP($C193,Interactive_Chart!$N$86:$V$96,MATCH($C$191,Interactive_Chart!$B$73:$B$82,FALSE)+1,FALSE)</f>
        <v>24.206377504414679</v>
      </c>
      <c r="I193" s="47">
        <f>HLOOKUP($C193,Interactive_Chart!$Y$86:$AG$96,MATCH($C$191,Interactive_Chart!$B$73:$B$82,FALSE)+1,FALSE)</f>
        <v>19.238122404238055</v>
      </c>
      <c r="J193" s="47">
        <f>HLOOKUP($C193,Interactive_Chart!$C$100:$K$110,MATCH($C$191,Interactive_Chart!$B$73:$B$82,FALSE)+1,FALSE)</f>
        <v>14.652040773305842</v>
      </c>
      <c r="K193" s="47">
        <f>HLOOKUP($C193,Interactive_Chart!$N$100:$V$110,MATCH($C$191,Interactive_Chart!$B$73:$B$82,FALSE)+1,FALSE)</f>
        <v>10.405668892813026</v>
      </c>
      <c r="L193" s="47">
        <f>HLOOKUP($C193,Interactive_Chart!$Y$100:$AG$110,MATCH($C$191,Interactive_Chart!$B$73:$B$82,FALSE)+1,FALSE)</f>
        <v>6.7254799297192802</v>
      </c>
      <c r="M193" s="47">
        <f>HLOOKUP($C193,Interactive_Chart!$C$114:$K$124,MATCH($C$191,Interactive_Chart!$B$73:$B$82,FALSE)+1,FALSE)</f>
        <v>-0.6348979964682866</v>
      </c>
    </row>
    <row r="194" spans="2:13" x14ac:dyDescent="0.35">
      <c r="B194" s="118"/>
      <c r="C194" s="98">
        <v>2.2999999999999998</v>
      </c>
      <c r="D194" s="47">
        <f>HLOOKUP($C194,Interactive_Chart!$C$72:$K$82,MATCH($C$191,Interactive_Chart!$B$73:$B$82,FALSE)+1,FALSE)</f>
        <v>42.365513088333095</v>
      </c>
      <c r="E194" s="47">
        <f>HLOOKUP($C194,Interactive_Chart!$N$72:$V$82,MATCH($C$191,Interactive_Chart!$B$73:$B$82,FALSE)+1,FALSE)</f>
        <v>44.531057459682486</v>
      </c>
      <c r="F194" s="47">
        <f>HLOOKUP($C194,Interactive_Chart!$Y$72:$AG$82,MATCH($C$191,Interactive_Chart!$B$73:$B$82,FALSE)+1,FALSE)</f>
        <v>40.014461914067411</v>
      </c>
      <c r="G194" s="47">
        <f>HLOOKUP($C194,Interactive_Chart!$C$86:$K$96,MATCH($C$191,Interactive_Chart!$B$73:$B$82,FALSE)+1,FALSE)</f>
        <v>34.180526000981246</v>
      </c>
      <c r="H194" s="47">
        <f>HLOOKUP($C194,Interactive_Chart!$N$86:$V$96,MATCH($C$191,Interactive_Chart!$B$73:$B$82,FALSE)+1,FALSE)</f>
        <v>29.852121936433473</v>
      </c>
      <c r="I194" s="47">
        <f>HLOOKUP($C194,Interactive_Chart!$Y$86:$AG$96,MATCH($C$191,Interactive_Chart!$B$73:$B$82,FALSE)+1,FALSE)</f>
        <v>24.658037058976134</v>
      </c>
      <c r="J194" s="47">
        <f>HLOOKUP($C194,Interactive_Chart!$C$100:$K$110,MATCH($C$191,Interactive_Chart!$B$73:$B$82,FALSE)+1,FALSE)</f>
        <v>19.863497172092437</v>
      </c>
      <c r="K194" s="47">
        <f>HLOOKUP($C194,Interactive_Chart!$N$100:$V$110,MATCH($C$191,Interactive_Chart!$B$73:$B$82,FALSE)+1,FALSE)</f>
        <v>15.424108387940883</v>
      </c>
      <c r="L194" s="47">
        <f>HLOOKUP($C194,Interactive_Chart!$Y$100:$AG$110,MATCH($C$191,Interactive_Chart!$B$73:$B$82,FALSE)+1,FALSE)</f>
        <v>11.576638108342863</v>
      </c>
      <c r="M194" s="47">
        <f>HLOOKUP($C194,Interactive_Chart!$C$114:$K$124,MATCH($C$191,Interactive_Chart!$B$73:$B$82,FALSE)+1,FALSE)</f>
        <v>3.8816975491467787</v>
      </c>
    </row>
    <row r="195" spans="2:13" x14ac:dyDescent="0.35">
      <c r="B195" s="118"/>
      <c r="C195" s="98">
        <v>2.4</v>
      </c>
      <c r="D195" s="47">
        <f>HLOOKUP($C195,Interactive_Chart!$C$72:$K$82,MATCH($C$191,Interactive_Chart!$B$73:$B$82,FALSE)+1,FALSE)</f>
        <v>48.555318005217131</v>
      </c>
      <c r="E195" s="47">
        <f>HLOOKUP($C195,Interactive_Chart!$N$72:$V$82,MATCH($C$191,Interactive_Chart!$B$73:$B$82,FALSE)+1,FALSE)</f>
        <v>50.815016479668664</v>
      </c>
      <c r="F195" s="47">
        <f>HLOOKUP($C195,Interactive_Chart!$Y$72:$AG$82,MATCH($C$191,Interactive_Chart!$B$73:$B$82,FALSE)+1,FALSE)</f>
        <v>46.102047214679033</v>
      </c>
      <c r="G195" s="47">
        <f>HLOOKUP($C195,Interactive_Chart!$C$86:$K$96,MATCH($C$191,Interactive_Chart!$B$73:$B$82,FALSE)+1,FALSE)</f>
        <v>40.014461914067411</v>
      </c>
      <c r="H195" s="47">
        <f>HLOOKUP($C195,Interactive_Chart!$N$86:$V$96,MATCH($C$191,Interactive_Chart!$B$73:$B$82,FALSE)+1,FALSE)</f>
        <v>35.497866368452335</v>
      </c>
      <c r="I195" s="47">
        <f>HLOOKUP($C195,Interactive_Chart!$Y$86:$AG$96,MATCH($C$191,Interactive_Chart!$B$73:$B$82,FALSE)+1,FALSE)</f>
        <v>30.077951713714235</v>
      </c>
      <c r="J195" s="47">
        <f>HLOOKUP($C195,Interactive_Chart!$C$100:$K$110,MATCH($C$191,Interactive_Chart!$B$73:$B$82,FALSE)+1,FALSE)</f>
        <v>25.074953570879053</v>
      </c>
      <c r="K195" s="47">
        <f>HLOOKUP($C195,Interactive_Chart!$N$100:$V$110,MATCH($C$191,Interactive_Chart!$B$73:$B$82,FALSE)+1,FALSE)</f>
        <v>20.44254788306872</v>
      </c>
      <c r="L195" s="47">
        <f>HLOOKUP($C195,Interactive_Chart!$Y$100:$AG$110,MATCH($C$191,Interactive_Chart!$B$73:$B$82,FALSE)+1,FALSE)</f>
        <v>16.427796286966469</v>
      </c>
      <c r="M195" s="47">
        <f>HLOOKUP($C195,Interactive_Chart!$C$114:$K$124,MATCH($C$191,Interactive_Chart!$B$73:$B$82,FALSE)+1,FALSE)</f>
        <v>8.3982930947618541</v>
      </c>
    </row>
    <row r="196" spans="2:13" x14ac:dyDescent="0.35">
      <c r="B196" s="118"/>
      <c r="C196" s="98">
        <v>2.5</v>
      </c>
      <c r="D196" s="47">
        <f>HLOOKUP($C196,Interactive_Chart!$C$72:$K$82,MATCH($C$191,Interactive_Chart!$B$73:$B$82,FALSE)+1,FALSE)</f>
        <v>54.745122922101189</v>
      </c>
      <c r="E196" s="47">
        <f>HLOOKUP($C196,Interactive_Chart!$N$72:$V$82,MATCH($C$191,Interactive_Chart!$B$73:$B$82,FALSE)+1,FALSE)</f>
        <v>57.098975499654884</v>
      </c>
      <c r="F196" s="47">
        <f>HLOOKUP($C196,Interactive_Chart!$Y$72:$AG$82,MATCH($C$191,Interactive_Chart!$B$73:$B$82,FALSE)+1,FALSE)</f>
        <v>52.189632515290654</v>
      </c>
      <c r="G196" s="47">
        <f>HLOOKUP($C196,Interactive_Chart!$C$86:$K$96,MATCH($C$191,Interactive_Chart!$B$73:$B$82,FALSE)+1,FALSE)</f>
        <v>45.848397827153555</v>
      </c>
      <c r="H196" s="47">
        <f>HLOOKUP($C196,Interactive_Chart!$N$86:$V$96,MATCH($C$191,Interactive_Chart!$B$73:$B$82,FALSE)+1,FALSE)</f>
        <v>41.143610800471194</v>
      </c>
      <c r="I196" s="47">
        <f>HLOOKUP($C196,Interactive_Chart!$Y$86:$AG$96,MATCH($C$191,Interactive_Chart!$B$73:$B$82,FALSE)+1,FALSE)</f>
        <v>35.497866368452314</v>
      </c>
      <c r="J196" s="47">
        <f>HLOOKUP($C196,Interactive_Chart!$C$100:$K$110,MATCH($C$191,Interactive_Chart!$B$73:$B$82,FALSE)+1,FALSE)</f>
        <v>30.286409969665694</v>
      </c>
      <c r="K196" s="47">
        <f>HLOOKUP($C196,Interactive_Chart!$N$100:$V$110,MATCH($C$191,Interactive_Chart!$B$73:$B$82,FALSE)+1,FALSE)</f>
        <v>25.460987378196599</v>
      </c>
      <c r="L196" s="47">
        <f>HLOOKUP($C196,Interactive_Chart!$Y$100:$AG$110,MATCH($C$191,Interactive_Chart!$B$73:$B$82,FALSE)+1,FALSE)</f>
        <v>21.278954465590051</v>
      </c>
      <c r="M196" s="47">
        <f>HLOOKUP($C196,Interactive_Chart!$C$114:$K$124,MATCH($C$191,Interactive_Chart!$B$73:$B$82,FALSE)+1,FALSE)</f>
        <v>12.914888640376931</v>
      </c>
    </row>
    <row r="197" spans="2:13" x14ac:dyDescent="0.35">
      <c r="B197" s="118"/>
      <c r="C197" s="98">
        <v>2.6</v>
      </c>
      <c r="D197" s="47">
        <f>HLOOKUP($C197,Interactive_Chart!$C$72:$K$82,MATCH($C$191,Interactive_Chart!$B$73:$B$82,FALSE)+1,FALSE)</f>
        <v>60.934927838985246</v>
      </c>
      <c r="E197" s="47">
        <f>HLOOKUP($C197,Interactive_Chart!$N$72:$V$82,MATCH($C$191,Interactive_Chart!$B$73:$B$82,FALSE)+1,FALSE)</f>
        <v>63.382934519641076</v>
      </c>
      <c r="F197" s="47">
        <f>HLOOKUP($C197,Interactive_Chart!$Y$72:$AG$82,MATCH($C$191,Interactive_Chart!$B$73:$B$82,FALSE)+1,FALSE)</f>
        <v>58.27721781590229</v>
      </c>
      <c r="G197" s="47">
        <f>HLOOKUP($C197,Interactive_Chart!$C$86:$K$96,MATCH($C$191,Interactive_Chart!$B$73:$B$82,FALSE)+1,FALSE)</f>
        <v>51.682333740239692</v>
      </c>
      <c r="H197" s="47">
        <f>HLOOKUP($C197,Interactive_Chart!$N$86:$V$96,MATCH($C$191,Interactive_Chart!$B$73:$B$82,FALSE)+1,FALSE)</f>
        <v>46.789355232490038</v>
      </c>
      <c r="I197" s="47">
        <f>HLOOKUP($C197,Interactive_Chart!$Y$86:$AG$96,MATCH($C$191,Interactive_Chart!$B$73:$B$82,FALSE)+1,FALSE)</f>
        <v>40.917781023190415</v>
      </c>
      <c r="J197" s="47">
        <f>HLOOKUP($C197,Interactive_Chart!$C$100:$K$110,MATCH($C$191,Interactive_Chart!$B$73:$B$82,FALSE)+1,FALSE)</f>
        <v>35.497866368452335</v>
      </c>
      <c r="K197" s="47">
        <f>HLOOKUP($C197,Interactive_Chart!$N$100:$V$110,MATCH($C$191,Interactive_Chart!$B$73:$B$82,FALSE)+1,FALSE)</f>
        <v>30.479426873324456</v>
      </c>
      <c r="L197" s="47">
        <f>HLOOKUP($C197,Interactive_Chart!$Y$100:$AG$110,MATCH($C$191,Interactive_Chart!$B$73:$B$82,FALSE)+1,FALSE)</f>
        <v>26.130112644213675</v>
      </c>
      <c r="M197" s="47">
        <f>HLOOKUP($C197,Interactive_Chart!$C$114:$K$124,MATCH($C$191,Interactive_Chart!$B$73:$B$82,FALSE)+1,FALSE)</f>
        <v>17.431484185992009</v>
      </c>
    </row>
    <row r="198" spans="2:13" x14ac:dyDescent="0.35">
      <c r="B198" s="118"/>
      <c r="C198" s="98">
        <v>2.7</v>
      </c>
      <c r="D198" s="47">
        <f>HLOOKUP($C198,Interactive_Chart!$C$72:$K$82,MATCH($C$191,Interactive_Chart!$B$73:$B$82,FALSE)+1,FALSE)</f>
        <v>67.124732755869275</v>
      </c>
      <c r="E198" s="47">
        <f>HLOOKUP($C198,Interactive_Chart!$N$72:$V$82,MATCH($C$191,Interactive_Chart!$B$73:$B$82,FALSE)+1,FALSE)</f>
        <v>69.666893539627296</v>
      </c>
      <c r="F198" s="47">
        <f>HLOOKUP($C198,Interactive_Chart!$Y$72:$AG$82,MATCH($C$191,Interactive_Chart!$B$73:$B$82,FALSE)+1,FALSE)</f>
        <v>64.364803116513912</v>
      </c>
      <c r="G198" s="47">
        <f>HLOOKUP($C198,Interactive_Chart!$C$86:$K$96,MATCH($C$191,Interactive_Chart!$B$73:$B$82,FALSE)+1,FALSE)</f>
        <v>57.516269653325857</v>
      </c>
      <c r="H198" s="47">
        <f>HLOOKUP($C198,Interactive_Chart!$N$86:$V$96,MATCH($C$191,Interactive_Chart!$B$73:$B$82,FALSE)+1,FALSE)</f>
        <v>52.435099664508897</v>
      </c>
      <c r="I198" s="47">
        <f>HLOOKUP($C198,Interactive_Chart!$Y$86:$AG$96,MATCH($C$191,Interactive_Chart!$B$73:$B$82,FALSE)+1,FALSE)</f>
        <v>46.337695677928515</v>
      </c>
      <c r="J198" s="47">
        <f>HLOOKUP($C198,Interactive_Chart!$C$100:$K$110,MATCH($C$191,Interactive_Chart!$B$73:$B$82,FALSE)+1,FALSE)</f>
        <v>40.709322767238952</v>
      </c>
      <c r="K198" s="47">
        <f>HLOOKUP($C198,Interactive_Chart!$N$100:$V$110,MATCH($C$191,Interactive_Chart!$B$73:$B$82,FALSE)+1,FALSE)</f>
        <v>35.497866368452335</v>
      </c>
      <c r="L198" s="47">
        <f>HLOOKUP($C198,Interactive_Chart!$Y$100:$AG$110,MATCH($C$191,Interactive_Chart!$B$73:$B$82,FALSE)+1,FALSE)</f>
        <v>30.981270822837281</v>
      </c>
      <c r="M198" s="47">
        <f>HLOOKUP($C198,Interactive_Chart!$C$114:$K$124,MATCH($C$191,Interactive_Chart!$B$73:$B$82,FALSE)+1,FALSE)</f>
        <v>21.948079731607084</v>
      </c>
    </row>
    <row r="199" spans="2:13" x14ac:dyDescent="0.35">
      <c r="B199" s="118"/>
      <c r="C199" s="98">
        <v>2.8</v>
      </c>
      <c r="D199" s="47">
        <f>HLOOKUP($C199,Interactive_Chart!$C$72:$K$82,MATCH($C$191,Interactive_Chart!$B$73:$B$82,FALSE)+1,FALSE)</f>
        <v>73.314537672753318</v>
      </c>
      <c r="E199" s="47">
        <f>HLOOKUP($C199,Interactive_Chart!$N$72:$V$82,MATCH($C$191,Interactive_Chart!$B$73:$B$82,FALSE)+1,FALSE)</f>
        <v>75.950852559613466</v>
      </c>
      <c r="F199" s="47">
        <f>HLOOKUP($C199,Interactive_Chart!$Y$72:$AG$82,MATCH($C$191,Interactive_Chart!$B$73:$B$82,FALSE)+1,FALSE)</f>
        <v>70.452388417125505</v>
      </c>
      <c r="G199" s="47">
        <f>HLOOKUP($C199,Interactive_Chart!$C$86:$K$96,MATCH($C$191,Interactive_Chart!$B$73:$B$82,FALSE)+1,FALSE)</f>
        <v>63.350205566411958</v>
      </c>
      <c r="H199" s="47">
        <f>HLOOKUP($C199,Interactive_Chart!$N$86:$V$96,MATCH($C$191,Interactive_Chart!$B$73:$B$82,FALSE)+1,FALSE)</f>
        <v>58.080844096527741</v>
      </c>
      <c r="I199" s="47">
        <f>HLOOKUP($C199,Interactive_Chart!$Y$86:$AG$96,MATCH($C$191,Interactive_Chart!$B$73:$B$82,FALSE)+1,FALSE)</f>
        <v>51.757610332666594</v>
      </c>
      <c r="J199" s="47">
        <f>HLOOKUP($C199,Interactive_Chart!$C$100:$K$110,MATCH($C$191,Interactive_Chart!$B$73:$B$82,FALSE)+1,FALSE)</f>
        <v>45.920779166025568</v>
      </c>
      <c r="K199" s="47">
        <f>HLOOKUP($C199,Interactive_Chart!$N$100:$V$110,MATCH($C$191,Interactive_Chart!$B$73:$B$82,FALSE)+1,FALSE)</f>
        <v>40.516305863580193</v>
      </c>
      <c r="L199" s="47">
        <f>HLOOKUP($C199,Interactive_Chart!$Y$100:$AG$110,MATCH($C$191,Interactive_Chart!$B$73:$B$82,FALSE)+1,FALSE)</f>
        <v>35.832429001460866</v>
      </c>
      <c r="M199" s="47">
        <f>HLOOKUP($C199,Interactive_Chart!$C$114:$K$124,MATCH($C$191,Interactive_Chart!$B$73:$B$82,FALSE)+1,FALSE)</f>
        <v>26.46467527722216</v>
      </c>
    </row>
    <row r="200" spans="2:13" x14ac:dyDescent="0.35">
      <c r="B200" s="118"/>
      <c r="C200" s="98">
        <v>2.9</v>
      </c>
      <c r="D200" s="47">
        <f>HLOOKUP($C200,Interactive_Chart!$C$72:$K$82,MATCH($C$191,Interactive_Chart!$B$73:$B$82,FALSE)+1,FALSE)</f>
        <v>79.504342589637389</v>
      </c>
      <c r="E200" s="47">
        <f>HLOOKUP($C200,Interactive_Chart!$N$72:$V$82,MATCH($C$191,Interactive_Chart!$B$73:$B$82,FALSE)+1,FALSE)</f>
        <v>82.234811579599665</v>
      </c>
      <c r="F200" s="47">
        <f>HLOOKUP($C200,Interactive_Chart!$Y$72:$AG$82,MATCH($C$191,Interactive_Chart!$B$73:$B$82,FALSE)+1,FALSE)</f>
        <v>76.539973717737126</v>
      </c>
      <c r="G200" s="47">
        <f>HLOOKUP($C200,Interactive_Chart!$C$86:$K$96,MATCH($C$191,Interactive_Chart!$B$73:$B$82,FALSE)+1,FALSE)</f>
        <v>69.184141479498123</v>
      </c>
      <c r="H200" s="47">
        <f>HLOOKUP($C200,Interactive_Chart!$N$86:$V$96,MATCH($C$191,Interactive_Chart!$B$73:$B$82,FALSE)+1,FALSE)</f>
        <v>63.726588528546579</v>
      </c>
      <c r="I200" s="47">
        <f>HLOOKUP($C200,Interactive_Chart!$Y$86:$AG$96,MATCH($C$191,Interactive_Chart!$B$73:$B$82,FALSE)+1,FALSE)</f>
        <v>57.177524987404695</v>
      </c>
      <c r="J200" s="47">
        <f>HLOOKUP($C200,Interactive_Chart!$C$100:$K$110,MATCH($C$191,Interactive_Chart!$B$73:$B$82,FALSE)+1,FALSE)</f>
        <v>51.132235564812191</v>
      </c>
      <c r="K200" s="47">
        <f>HLOOKUP($C200,Interactive_Chart!$N$100:$V$110,MATCH($C$191,Interactive_Chart!$B$73:$B$82,FALSE)+1,FALSE)</f>
        <v>45.534745358708051</v>
      </c>
      <c r="L200" s="47">
        <f>HLOOKUP($C200,Interactive_Chart!$Y$100:$AG$110,MATCH($C$191,Interactive_Chart!$B$73:$B$82,FALSE)+1,FALSE)</f>
        <v>40.683587180084487</v>
      </c>
      <c r="M200" s="47">
        <f>HLOOKUP($C200,Interactive_Chart!$C$114:$K$124,MATCH($C$191,Interactive_Chart!$B$73:$B$82,FALSE)+1,FALSE)</f>
        <v>30.981270822837214</v>
      </c>
    </row>
    <row r="201" spans="2:13" x14ac:dyDescent="0.35">
      <c r="B201" s="119"/>
      <c r="C201" s="98">
        <v>3</v>
      </c>
      <c r="D201" s="47">
        <f>HLOOKUP($C201,Interactive_Chart!$C$72:$K$82,MATCH($C$191,Interactive_Chart!$B$73:$B$82,FALSE)+1,FALSE)</f>
        <v>85.694147506521418</v>
      </c>
      <c r="E201" s="47">
        <f>HLOOKUP($C201,Interactive_Chart!$N$72:$V$82,MATCH($C$191,Interactive_Chart!$B$73:$B$82,FALSE)+1,FALSE)</f>
        <v>88.518770599585864</v>
      </c>
      <c r="F201" s="47">
        <f>HLOOKUP($C201,Interactive_Chart!$Y$72:$AG$82,MATCH($C$191,Interactive_Chart!$B$73:$B$82,FALSE)+1,FALSE)</f>
        <v>82.627559018348791</v>
      </c>
      <c r="G201" s="47">
        <f>HLOOKUP($C201,Interactive_Chart!$C$86:$K$96,MATCH($C$191,Interactive_Chart!$B$73:$B$82,FALSE)+1,FALSE)</f>
        <v>75.01807739258426</v>
      </c>
      <c r="H201" s="47">
        <f>HLOOKUP($C201,Interactive_Chart!$N$86:$V$96,MATCH($C$191,Interactive_Chart!$B$73:$B$82,FALSE)+1,FALSE)</f>
        <v>69.372332960565416</v>
      </c>
      <c r="I201" s="47">
        <f>HLOOKUP($C201,Interactive_Chart!$Y$86:$AG$96,MATCH($C$191,Interactive_Chart!$B$73:$B$82,FALSE)+1,FALSE)</f>
        <v>62.597439642142795</v>
      </c>
      <c r="J201" s="47">
        <f>HLOOKUP($C201,Interactive_Chart!$C$100:$K$110,MATCH($C$191,Interactive_Chart!$B$73:$B$82,FALSE)+1,FALSE)</f>
        <v>56.343691963598829</v>
      </c>
      <c r="K201" s="47">
        <f>HLOOKUP($C201,Interactive_Chart!$N$100:$V$110,MATCH($C$191,Interactive_Chart!$B$73:$B$82,FALSE)+1,FALSE)</f>
        <v>50.55318485383593</v>
      </c>
      <c r="L201" s="47">
        <f>HLOOKUP($C201,Interactive_Chart!$Y$100:$AG$110,MATCH($C$191,Interactive_Chart!$B$73:$B$82,FALSE)+1,FALSE)</f>
        <v>45.534745358708072</v>
      </c>
      <c r="M201" s="47">
        <f>HLOOKUP($C201,Interactive_Chart!$C$114:$K$124,MATCH($C$191,Interactive_Chart!$B$73:$B$82,FALSE)+1,FALSE)</f>
        <v>35.497866368452335</v>
      </c>
    </row>
  </sheetData>
  <mergeCells count="37">
    <mergeCell ref="C2:D2"/>
    <mergeCell ref="A73:A82"/>
    <mergeCell ref="C71:K71"/>
    <mergeCell ref="C83:K83"/>
    <mergeCell ref="N83:V83"/>
    <mergeCell ref="Y83:AG83"/>
    <mergeCell ref="N71:V71"/>
    <mergeCell ref="Y71:AG71"/>
    <mergeCell ref="L73:L82"/>
    <mergeCell ref="W73:W82"/>
    <mergeCell ref="C85:K85"/>
    <mergeCell ref="N85:V85"/>
    <mergeCell ref="Y85:AG85"/>
    <mergeCell ref="A87:A96"/>
    <mergeCell ref="L87:L96"/>
    <mergeCell ref="W87:W96"/>
    <mergeCell ref="C97:K97"/>
    <mergeCell ref="N97:V97"/>
    <mergeCell ref="Y97:AG97"/>
    <mergeCell ref="C99:K99"/>
    <mergeCell ref="N99:V99"/>
    <mergeCell ref="Y99:AG99"/>
    <mergeCell ref="Y111:AG111"/>
    <mergeCell ref="C113:K113"/>
    <mergeCell ref="A115:A124"/>
    <mergeCell ref="C125:K125"/>
    <mergeCell ref="A101:A110"/>
    <mergeCell ref="L101:L110"/>
    <mergeCell ref="W101:W110"/>
    <mergeCell ref="C111:K111"/>
    <mergeCell ref="N111:V111"/>
    <mergeCell ref="R181:R189"/>
    <mergeCell ref="B180:B189"/>
    <mergeCell ref="D178:M178"/>
    <mergeCell ref="D191:M191"/>
    <mergeCell ref="B193:B201"/>
    <mergeCell ref="O181:O189"/>
  </mergeCells>
  <conditionalFormatting sqref="X165:X174">
    <cfRule type="expression" dxfId="8" priority="5">
      <formula>X165&gt;V165</formula>
    </cfRule>
  </conditionalFormatting>
  <conditionalFormatting sqref="M4:M13">
    <cfRule type="containsText" dxfId="7" priority="1" operator="containsText" text="No">
      <formula>NOT(ISERROR(SEARCH("No",M4)))</formula>
    </cfRule>
    <cfRule type="containsText" dxfId="6" priority="2" operator="containsText" text="Yes">
      <formula>NOT(ISERROR(SEARCH("Yes",M4)))</formula>
    </cfRule>
  </conditionalFormatting>
  <dataValidations count="1">
    <dataValidation type="list" allowBlank="1" showInputMessage="1" showErrorMessage="1" sqref="C4:C13" xr:uid="{055FE26F-1C9C-4CB8-9988-541ED0BB4C82}">
      <formula1>$A$4:$A$14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 moveWithCells="1" sizeWithCells="1">
                  <from>
                    <xdr:col>3</xdr:col>
                    <xdr:colOff>107950</xdr:colOff>
                    <xdr:row>3</xdr:row>
                    <xdr:rowOff>0</xdr:rowOff>
                  </from>
                  <to>
                    <xdr:col>3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Spinner 3">
              <controlPr defaultSize="0" autoPict="0">
                <anchor moveWithCells="1" sizeWithCells="1">
                  <from>
                    <xdr:col>3</xdr:col>
                    <xdr:colOff>107950</xdr:colOff>
                    <xdr:row>4</xdr:row>
                    <xdr:rowOff>0</xdr:rowOff>
                  </from>
                  <to>
                    <xdr:col>3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Spinner 4">
              <controlPr defaultSize="0" autoPict="0">
                <anchor moveWithCells="1" sizeWithCells="1">
                  <from>
                    <xdr:col>3</xdr:col>
                    <xdr:colOff>107950</xdr:colOff>
                    <xdr:row>5</xdr:row>
                    <xdr:rowOff>0</xdr:rowOff>
                  </from>
                  <to>
                    <xdr:col>3</xdr:col>
                    <xdr:colOff>438150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pinner 5">
              <controlPr defaultSize="0" autoPict="0">
                <anchor moveWithCells="1" sizeWithCells="1">
                  <from>
                    <xdr:col>3</xdr:col>
                    <xdr:colOff>107950</xdr:colOff>
                    <xdr:row>6</xdr:row>
                    <xdr:rowOff>0</xdr:rowOff>
                  </from>
                  <to>
                    <xdr:col>3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Spinner 6">
              <controlPr defaultSize="0" autoPict="0">
                <anchor moveWithCells="1" sizeWithCells="1">
                  <from>
                    <xdr:col>3</xdr:col>
                    <xdr:colOff>107950</xdr:colOff>
                    <xdr:row>7</xdr:row>
                    <xdr:rowOff>0</xdr:rowOff>
                  </from>
                  <to>
                    <xdr:col>3</xdr:col>
                    <xdr:colOff>438150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Spinner 7">
              <controlPr defaultSize="0" autoPict="0">
                <anchor moveWithCells="1" sizeWithCells="1">
                  <from>
                    <xdr:col>3</xdr:col>
                    <xdr:colOff>107950</xdr:colOff>
                    <xdr:row>8</xdr:row>
                    <xdr:rowOff>12700</xdr:rowOff>
                  </from>
                  <to>
                    <xdr:col>3</xdr:col>
                    <xdr:colOff>438150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Spinner 8">
              <controlPr defaultSize="0" autoPict="0">
                <anchor moveWithCells="1" sizeWithCells="1">
                  <from>
                    <xdr:col>3</xdr:col>
                    <xdr:colOff>107950</xdr:colOff>
                    <xdr:row>9</xdr:row>
                    <xdr:rowOff>12700</xdr:rowOff>
                  </from>
                  <to>
                    <xdr:col>3</xdr:col>
                    <xdr:colOff>438150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Spinner 9">
              <controlPr defaultSize="0" autoPict="0">
                <anchor moveWithCells="1" sizeWithCells="1">
                  <from>
                    <xdr:col>3</xdr:col>
                    <xdr:colOff>107950</xdr:colOff>
                    <xdr:row>9</xdr:row>
                    <xdr:rowOff>273050</xdr:rowOff>
                  </from>
                  <to>
                    <xdr:col>3</xdr:col>
                    <xdr:colOff>438150</xdr:colOff>
                    <xdr:row>10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Spinner 11">
              <controlPr defaultSize="0" autoPict="0">
                <anchor moveWithCells="1" sizeWithCells="1">
                  <from>
                    <xdr:col>3</xdr:col>
                    <xdr:colOff>107950</xdr:colOff>
                    <xdr:row>12</xdr:row>
                    <xdr:rowOff>12700</xdr:rowOff>
                  </from>
                  <to>
                    <xdr:col>3</xdr:col>
                    <xdr:colOff>438150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Spinner 14">
              <controlPr defaultSize="0" autoPict="0">
                <anchor moveWithCells="1" sizeWithCells="1">
                  <from>
                    <xdr:col>4</xdr:col>
                    <xdr:colOff>107950</xdr:colOff>
                    <xdr:row>4</xdr:row>
                    <xdr:rowOff>0</xdr:rowOff>
                  </from>
                  <to>
                    <xdr:col>4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Spinner 15">
              <controlPr defaultSize="0" autoPict="0">
                <anchor moveWithCells="1" sizeWithCells="1">
                  <from>
                    <xdr:col>4</xdr:col>
                    <xdr:colOff>107950</xdr:colOff>
                    <xdr:row>5</xdr:row>
                    <xdr:rowOff>0</xdr:rowOff>
                  </from>
                  <to>
                    <xdr:col>4</xdr:col>
                    <xdr:colOff>438150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Spinner 16">
              <controlPr defaultSize="0" autoPict="0">
                <anchor moveWithCells="1" sizeWithCells="1">
                  <from>
                    <xdr:col>4</xdr:col>
                    <xdr:colOff>107950</xdr:colOff>
                    <xdr:row>6</xdr:row>
                    <xdr:rowOff>0</xdr:rowOff>
                  </from>
                  <to>
                    <xdr:col>4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Spinner 17">
              <controlPr defaultSize="0" autoPict="0">
                <anchor moveWithCells="1" sizeWithCells="1">
                  <from>
                    <xdr:col>4</xdr:col>
                    <xdr:colOff>107950</xdr:colOff>
                    <xdr:row>7</xdr:row>
                    <xdr:rowOff>0</xdr:rowOff>
                  </from>
                  <to>
                    <xdr:col>4</xdr:col>
                    <xdr:colOff>438150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Spinner 18">
              <controlPr defaultSize="0" autoPict="0">
                <anchor moveWithCells="1" sizeWithCells="1">
                  <from>
                    <xdr:col>4</xdr:col>
                    <xdr:colOff>107950</xdr:colOff>
                    <xdr:row>8</xdr:row>
                    <xdr:rowOff>0</xdr:rowOff>
                  </from>
                  <to>
                    <xdr:col>4</xdr:col>
                    <xdr:colOff>438150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Spinner 19">
              <controlPr defaultSize="0" autoPict="0">
                <anchor moveWithCells="1" sizeWithCells="1">
                  <from>
                    <xdr:col>4</xdr:col>
                    <xdr:colOff>107950</xdr:colOff>
                    <xdr:row>9</xdr:row>
                    <xdr:rowOff>0</xdr:rowOff>
                  </from>
                  <to>
                    <xdr:col>4</xdr:col>
                    <xdr:colOff>438150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Spinner 20">
              <controlPr defaultSize="0" autoPict="0">
                <anchor moveWithCells="1" sizeWithCells="1">
                  <from>
                    <xdr:col>4</xdr:col>
                    <xdr:colOff>107950</xdr:colOff>
                    <xdr:row>10</xdr:row>
                    <xdr:rowOff>0</xdr:rowOff>
                  </from>
                  <to>
                    <xdr:col>4</xdr:col>
                    <xdr:colOff>438150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Spinner 21">
              <controlPr defaultSize="0" autoPict="0">
                <anchor moveWithCells="1" sizeWithCells="1">
                  <from>
                    <xdr:col>4</xdr:col>
                    <xdr:colOff>107950</xdr:colOff>
                    <xdr:row>11</xdr:row>
                    <xdr:rowOff>0</xdr:rowOff>
                  </from>
                  <to>
                    <xdr:col>4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Spinner 22">
              <controlPr defaultSize="0" autoPict="0">
                <anchor moveWithCells="1" sizeWithCells="1">
                  <from>
                    <xdr:col>4</xdr:col>
                    <xdr:colOff>107950</xdr:colOff>
                    <xdr:row>12</xdr:row>
                    <xdr:rowOff>0</xdr:rowOff>
                  </from>
                  <to>
                    <xdr:col>4</xdr:col>
                    <xdr:colOff>438150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Spinner 23">
              <controlPr defaultSize="0" autoPict="0">
                <anchor moveWithCells="1" sizeWithCells="1">
                  <from>
                    <xdr:col>3</xdr:col>
                    <xdr:colOff>107950</xdr:colOff>
                    <xdr:row>11</xdr:row>
                    <xdr:rowOff>0</xdr:rowOff>
                  </from>
                  <to>
                    <xdr:col>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07E-FBBD-4BFB-8FBD-81C52D403A10}">
  <dimension ref="A1:Z153"/>
  <sheetViews>
    <sheetView showGridLines="0" tabSelected="1" zoomScale="40" zoomScaleNormal="40" workbookViewId="0">
      <selection activeCell="Y46" sqref="Y46"/>
    </sheetView>
  </sheetViews>
  <sheetFormatPr defaultRowHeight="14.5" x14ac:dyDescent="0.35"/>
  <cols>
    <col min="1" max="1" width="7.81640625" bestFit="1" customWidth="1"/>
    <col min="2" max="2" width="17" bestFit="1" customWidth="1"/>
    <col min="3" max="3" width="16" bestFit="1" customWidth="1"/>
    <col min="4" max="4" width="16.453125" bestFit="1" customWidth="1"/>
    <col min="5" max="5" width="18.26953125" bestFit="1" customWidth="1"/>
    <col min="6" max="6" width="17.36328125" bestFit="1" customWidth="1"/>
    <col min="7" max="7" width="19.453125" bestFit="1" customWidth="1"/>
    <col min="8" max="8" width="22.1796875" bestFit="1" customWidth="1"/>
    <col min="9" max="9" width="16" bestFit="1" customWidth="1"/>
    <col min="10" max="10" width="16.26953125" bestFit="1" customWidth="1"/>
    <col min="11" max="11" width="14.90625" bestFit="1" customWidth="1"/>
    <col min="12" max="12" width="14" customWidth="1"/>
    <col min="13" max="13" width="16" bestFit="1" customWidth="1"/>
    <col min="14" max="14" width="14.81640625" customWidth="1"/>
    <col min="15" max="15" width="23.08984375" bestFit="1" customWidth="1"/>
    <col min="16" max="16" width="22.36328125" bestFit="1" customWidth="1"/>
    <col min="17" max="17" width="10.36328125" bestFit="1" customWidth="1"/>
    <col min="18" max="18" width="18.26953125" bestFit="1" customWidth="1"/>
    <col min="19" max="19" width="21.90625" bestFit="1" customWidth="1"/>
    <col min="20" max="20" width="14.453125" bestFit="1" customWidth="1"/>
    <col min="21" max="21" width="22.1796875" bestFit="1" customWidth="1"/>
    <col min="22" max="22" width="15.81640625" bestFit="1" customWidth="1"/>
    <col min="23" max="23" width="22.36328125" bestFit="1" customWidth="1"/>
    <col min="24" max="24" width="11.81640625" bestFit="1" customWidth="1"/>
    <col min="25" max="25" width="14" bestFit="1" customWidth="1"/>
    <col min="26" max="26" width="16" bestFit="1" customWidth="1"/>
    <col min="34" max="34" width="10.6328125" bestFit="1" customWidth="1"/>
  </cols>
  <sheetData>
    <row r="1" spans="2:24" ht="21" x14ac:dyDescent="0.5">
      <c r="B1" s="124" t="s">
        <v>155</v>
      </c>
      <c r="C1" s="125" t="s">
        <v>103</v>
      </c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 t="s">
        <v>156</v>
      </c>
      <c r="P1" s="125" t="s">
        <v>103</v>
      </c>
      <c r="Q1" s="124"/>
      <c r="R1" s="124"/>
      <c r="S1" s="124"/>
      <c r="T1" s="124"/>
      <c r="U1" s="124"/>
      <c r="V1" s="124"/>
      <c r="W1" s="124"/>
      <c r="X1" s="124"/>
    </row>
    <row r="2" spans="2:24" ht="21" x14ac:dyDescent="0.5">
      <c r="B2" s="124"/>
      <c r="C2" s="126">
        <f>Model!F3</f>
        <v>-1.0650499531935198E-2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37">
        <v>0.02</v>
      </c>
      <c r="Q2" s="124"/>
      <c r="R2" s="124"/>
      <c r="S2" s="124"/>
      <c r="T2" s="124"/>
      <c r="U2" s="124"/>
      <c r="V2" s="124"/>
      <c r="W2" s="124"/>
      <c r="X2" s="124"/>
    </row>
    <row r="3" spans="2:24" ht="21" x14ac:dyDescent="0.5">
      <c r="B3" s="124"/>
      <c r="C3" s="125" t="s">
        <v>115</v>
      </c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5" t="s">
        <v>115</v>
      </c>
      <c r="Q3" s="124"/>
      <c r="R3" s="124"/>
      <c r="S3" s="124"/>
      <c r="T3" s="124"/>
      <c r="U3" s="124"/>
      <c r="V3" s="124"/>
      <c r="W3" s="124"/>
      <c r="X3" s="124"/>
    </row>
    <row r="4" spans="2:24" ht="21" x14ac:dyDescent="0.5">
      <c r="B4" s="127" t="s">
        <v>102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7" t="s">
        <v>102</v>
      </c>
      <c r="P4" s="124"/>
      <c r="Q4" s="124"/>
      <c r="R4" s="124"/>
      <c r="S4" s="124"/>
      <c r="T4" s="124"/>
      <c r="U4" s="124"/>
      <c r="V4" s="124"/>
      <c r="W4" s="124"/>
      <c r="X4" s="124"/>
    </row>
    <row r="5" spans="2:24" ht="21" x14ac:dyDescent="0.5">
      <c r="B5" s="128" t="s">
        <v>53</v>
      </c>
      <c r="C5" s="129" t="s">
        <v>109</v>
      </c>
      <c r="D5" s="129" t="s">
        <v>104</v>
      </c>
      <c r="E5" s="130" t="s">
        <v>105</v>
      </c>
      <c r="F5" s="129" t="s">
        <v>108</v>
      </c>
      <c r="G5" s="129" t="s">
        <v>107</v>
      </c>
      <c r="H5" s="130" t="s">
        <v>111</v>
      </c>
      <c r="I5" s="130" t="s">
        <v>117</v>
      </c>
      <c r="J5" s="131" t="s">
        <v>106</v>
      </c>
      <c r="K5" s="124"/>
      <c r="L5" s="124"/>
      <c r="M5" s="124"/>
      <c r="N5" s="124"/>
      <c r="O5" s="128" t="s">
        <v>53</v>
      </c>
      <c r="P5" s="129" t="s">
        <v>109</v>
      </c>
      <c r="Q5" s="129" t="s">
        <v>104</v>
      </c>
      <c r="R5" s="130" t="s">
        <v>105</v>
      </c>
      <c r="S5" s="129" t="s">
        <v>108</v>
      </c>
      <c r="T5" s="129" t="s">
        <v>107</v>
      </c>
      <c r="U5" s="130" t="s">
        <v>111</v>
      </c>
      <c r="V5" s="130" t="s">
        <v>117</v>
      </c>
      <c r="W5" s="131" t="s">
        <v>106</v>
      </c>
      <c r="X5" s="124"/>
    </row>
    <row r="6" spans="2:24" ht="21" x14ac:dyDescent="0.5">
      <c r="B6" s="132">
        <f>C55+1</f>
        <v>1</v>
      </c>
      <c r="C6" s="133">
        <f>Model!N7</f>
        <v>180.74944582182781</v>
      </c>
      <c r="D6" s="134">
        <f>Model!O7</f>
        <v>7013.433732908994</v>
      </c>
      <c r="E6" s="135">
        <f>Model!P7</f>
        <v>38.801965345013699</v>
      </c>
      <c r="F6" s="134">
        <f>Model!Q7</f>
        <v>223257.59762512398</v>
      </c>
      <c r="G6" s="134">
        <f>Model!R7</f>
        <v>15908.617260943725</v>
      </c>
      <c r="H6" s="135">
        <f>Model!S7</f>
        <v>88.014749857797668</v>
      </c>
      <c r="I6" s="136">
        <f>Model!T7</f>
        <v>2.2683064910553075</v>
      </c>
      <c r="J6" s="133">
        <f>Model!U7</f>
        <v>31.832851942057548</v>
      </c>
      <c r="K6" s="124"/>
      <c r="L6" s="124"/>
      <c r="M6" s="124"/>
      <c r="N6" s="124"/>
      <c r="O6" s="132">
        <f>P55+1</f>
        <v>1</v>
      </c>
      <c r="P6" s="133">
        <f>Model!N7</f>
        <v>180.74944582182781</v>
      </c>
      <c r="Q6" s="134" cm="1">
        <f t="array" ref="Q6">TREND(Model!$D$33:$D$42,Model!$F$33:$F$42,S6)</f>
        <v>7132.7909715765491</v>
      </c>
      <c r="R6" s="133">
        <f>Model!P7</f>
        <v>38.801965345013699</v>
      </c>
      <c r="S6" s="134">
        <f>Model!F42*(1+'Different Growth Rate'!$P$2)</f>
        <v>230174.22</v>
      </c>
      <c r="T6" s="134">
        <f>Model!R7</f>
        <v>15908.617260943725</v>
      </c>
      <c r="U6" s="134">
        <f>Model!S7</f>
        <v>88.014749857797668</v>
      </c>
      <c r="V6" s="136">
        <f>U6/R6</f>
        <v>2.2683064910553075</v>
      </c>
      <c r="W6" s="133">
        <f>S6/Q6</f>
        <v>32.269867561971324</v>
      </c>
      <c r="X6" s="124"/>
    </row>
    <row r="7" spans="2:24" ht="21" x14ac:dyDescent="0.5">
      <c r="B7" s="132">
        <f t="shared" ref="B7:B15" si="0">B6+1</f>
        <v>2</v>
      </c>
      <c r="C7" s="133">
        <f>Model!N8</f>
        <v>181.50201202721036</v>
      </c>
      <c r="D7" s="134">
        <f>Model!O8</f>
        <v>6972.400954736675</v>
      </c>
      <c r="E7" s="135">
        <f>Model!P8</f>
        <v>38.415006406052342</v>
      </c>
      <c r="F7" s="134">
        <f>Model!Q8</f>
        <v>220879.79268611662</v>
      </c>
      <c r="G7" s="134">
        <f>Model!R8</f>
        <v>16138.509319933468</v>
      </c>
      <c r="H7" s="135">
        <f>Model!S8</f>
        <v>88.916421034021482</v>
      </c>
      <c r="I7" s="136">
        <f>Model!T8</f>
        <v>2.3146272603513758</v>
      </c>
      <c r="J7" s="133">
        <f>Model!U8</f>
        <v>31.679158172345602</v>
      </c>
      <c r="K7" s="124"/>
      <c r="L7" s="124"/>
      <c r="M7" s="124"/>
      <c r="N7" s="124"/>
      <c r="O7" s="132">
        <f t="shared" ref="O7:O15" si="1">O6+1</f>
        <v>2</v>
      </c>
      <c r="P7" s="133">
        <f>Model!N8</f>
        <v>181.50201202721036</v>
      </c>
      <c r="Q7" s="134" cm="1">
        <f t="array" ref="Q7">TREND(Model!$D$33:$D$42,Model!$F$33:$F$42,S7)</f>
        <v>7212.2313626305731</v>
      </c>
      <c r="R7" s="133">
        <f>Model!P8</f>
        <v>38.415006406052342</v>
      </c>
      <c r="S7" s="134">
        <f>S6*(1+$P$2)</f>
        <v>234777.70440000002</v>
      </c>
      <c r="T7" s="134">
        <f>Model!R8</f>
        <v>16138.509319933468</v>
      </c>
      <c r="U7" s="134">
        <f>Model!S8</f>
        <v>88.916421034021482</v>
      </c>
      <c r="V7" s="136">
        <f t="shared" ref="V7:V15" si="2">U7/R7</f>
        <v>2.3146272603513758</v>
      </c>
      <c r="W7" s="133">
        <f t="shared" ref="W7:W15" si="3">S7/Q7</f>
        <v>32.552713937669317</v>
      </c>
      <c r="X7" s="124"/>
    </row>
    <row r="8" spans="2:24" ht="21" x14ac:dyDescent="0.5">
      <c r="B8" s="132">
        <f t="shared" si="0"/>
        <v>3</v>
      </c>
      <c r="C8" s="133">
        <f>Model!N9</f>
        <v>182.25771160813886</v>
      </c>
      <c r="D8" s="134">
        <f>Model!O9</f>
        <v>6931.8051961490728</v>
      </c>
      <c r="E8" s="135">
        <f>Model!P9</f>
        <v>38.032987109224344</v>
      </c>
      <c r="F8" s="134">
        <f>Model!Q9</f>
        <v>218527.31255749919</v>
      </c>
      <c r="G8" s="134">
        <f>Model!R9</f>
        <v>16371.72350038227</v>
      </c>
      <c r="H8" s="135">
        <f>Model!S9</f>
        <v>89.827329422318812</v>
      </c>
      <c r="I8" s="136">
        <f>Model!T9</f>
        <v>2.361826831122936</v>
      </c>
      <c r="J8" s="133">
        <f>Model!U9</f>
        <v>31.525310705341354</v>
      </c>
      <c r="K8" s="124"/>
      <c r="L8" s="124"/>
      <c r="M8" s="124"/>
      <c r="N8" s="124"/>
      <c r="O8" s="132">
        <f t="shared" si="1"/>
        <v>3</v>
      </c>
      <c r="P8" s="133">
        <f>Model!N9</f>
        <v>182.25771160813886</v>
      </c>
      <c r="Q8" s="134" cm="1">
        <f t="array" ref="Q8">TREND(Model!$D$33:$D$42,Model!$F$33:$F$42,S8)</f>
        <v>7293.2605615056773</v>
      </c>
      <c r="R8" s="133">
        <f>Model!P9</f>
        <v>38.032987109224344</v>
      </c>
      <c r="S8" s="134">
        <f t="shared" ref="S8:S15" si="4">S7*(1+$P$2)</f>
        <v>239473.25848800002</v>
      </c>
      <c r="T8" s="134">
        <f>Model!R9</f>
        <v>16371.72350038227</v>
      </c>
      <c r="U8" s="134">
        <f>Model!S9</f>
        <v>89.827329422318812</v>
      </c>
      <c r="V8" s="136">
        <f t="shared" si="2"/>
        <v>2.361826831122936</v>
      </c>
      <c r="W8" s="133">
        <f t="shared" si="3"/>
        <v>32.834869461809177</v>
      </c>
      <c r="X8" s="124"/>
    </row>
    <row r="9" spans="2:24" ht="21" x14ac:dyDescent="0.5">
      <c r="B9" s="132">
        <f t="shared" si="0"/>
        <v>4</v>
      </c>
      <c r="C9" s="133">
        <f>Model!N10</f>
        <v>183.01655761069784</v>
      </c>
      <c r="D9" s="134">
        <f>Model!O10</f>
        <v>6891.6418026693082</v>
      </c>
      <c r="E9" s="135">
        <f>Model!P10</f>
        <v>37.655837770311507</v>
      </c>
      <c r="F9" s="134">
        <f>Model!Q10</f>
        <v>216199.88751739048</v>
      </c>
      <c r="G9" s="134">
        <f>Model!R10</f>
        <v>16608.307809563794</v>
      </c>
      <c r="H9" s="135">
        <f>Model!S10</f>
        <v>90.747569653736022</v>
      </c>
      <c r="I9" s="136">
        <f>Model!T10</f>
        <v>2.4099203477364384</v>
      </c>
      <c r="J9" s="133">
        <f>Model!U10</f>
        <v>31.371318142746588</v>
      </c>
      <c r="K9" s="124"/>
      <c r="L9" s="124"/>
      <c r="M9" s="124"/>
      <c r="N9" s="124"/>
      <c r="O9" s="132">
        <f t="shared" si="1"/>
        <v>4</v>
      </c>
      <c r="P9" s="133">
        <f>Model!N10</f>
        <v>183.01655761069784</v>
      </c>
      <c r="Q9" s="134" cm="1">
        <f t="array" ref="Q9">TREND(Model!$D$33:$D$42,Model!$F$33:$F$42,S9)</f>
        <v>7375.9103443582835</v>
      </c>
      <c r="R9" s="133">
        <f>Model!P10</f>
        <v>37.655837770311507</v>
      </c>
      <c r="S9" s="134">
        <f t="shared" si="4"/>
        <v>244262.72365776001</v>
      </c>
      <c r="T9" s="134">
        <f>Model!R10</f>
        <v>16608.307809563794</v>
      </c>
      <c r="U9" s="134">
        <f>Model!S10</f>
        <v>90.747569653736022</v>
      </c>
      <c r="V9" s="136">
        <f t="shared" si="2"/>
        <v>2.4099203477364384</v>
      </c>
      <c r="W9" s="133">
        <f t="shared" si="3"/>
        <v>33.116281550872252</v>
      </c>
      <c r="X9" s="124"/>
    </row>
    <row r="10" spans="2:24" ht="21" x14ac:dyDescent="0.5">
      <c r="B10" s="132">
        <f t="shared" si="0"/>
        <v>5</v>
      </c>
      <c r="C10" s="133">
        <f>Model!N11</f>
        <v>183.77856313529031</v>
      </c>
      <c r="D10" s="134">
        <f>Model!O11</f>
        <v>6851.9061693929998</v>
      </c>
      <c r="E10" s="135">
        <f>Model!P11</f>
        <v>37.283489719902235</v>
      </c>
      <c r="F10" s="134">
        <f>Model!Q11</f>
        <v>213897.25071658209</v>
      </c>
      <c r="G10" s="134">
        <f>Model!R11</f>
        <v>16848.310948494647</v>
      </c>
      <c r="H10" s="135">
        <f>Model!S11</f>
        <v>91.677237328771611</v>
      </c>
      <c r="I10" s="136">
        <f>Model!T11</f>
        <v>2.4589231860405372</v>
      </c>
      <c r="J10" s="133">
        <f>Model!U11</f>
        <v>31.217189119145647</v>
      </c>
      <c r="K10" s="124"/>
      <c r="L10" s="124"/>
      <c r="M10" s="124"/>
      <c r="N10" s="124"/>
      <c r="O10" s="132">
        <f t="shared" si="1"/>
        <v>5</v>
      </c>
      <c r="P10" s="133">
        <f>Model!N11</f>
        <v>183.77856313529031</v>
      </c>
      <c r="Q10" s="134" cm="1">
        <f t="array" ref="Q10">TREND(Model!$D$33:$D$42,Model!$F$33:$F$42,S10)</f>
        <v>7460.2131228679427</v>
      </c>
      <c r="R10" s="133">
        <f>Model!P11</f>
        <v>37.283489719902235</v>
      </c>
      <c r="S10" s="134">
        <f t="shared" si="4"/>
        <v>249147.97813091523</v>
      </c>
      <c r="T10" s="134">
        <f>Model!R11</f>
        <v>16848.310948494647</v>
      </c>
      <c r="U10" s="134">
        <f>Model!S11</f>
        <v>91.677237328771611</v>
      </c>
      <c r="V10" s="136">
        <f t="shared" si="2"/>
        <v>2.4589231860405372</v>
      </c>
      <c r="W10" s="133">
        <f t="shared" si="3"/>
        <v>33.396898188765796</v>
      </c>
      <c r="X10" s="124"/>
    </row>
    <row r="11" spans="2:24" ht="21" x14ac:dyDescent="0.5">
      <c r="B11" s="132">
        <f t="shared" si="0"/>
        <v>6</v>
      </c>
      <c r="C11" s="133">
        <f>Model!N12</f>
        <v>184.54374133686397</v>
      </c>
      <c r="D11" s="134">
        <f>Model!O12</f>
        <v>6812.593740460301</v>
      </c>
      <c r="E11" s="135">
        <f>Model!P12</f>
        <v>36.915875288475227</v>
      </c>
      <c r="F11" s="134">
        <f>Model!Q12</f>
        <v>211619.1381479429</v>
      </c>
      <c r="G11" s="134">
        <f>Model!R12</f>
        <v>17091.782321959516</v>
      </c>
      <c r="H11" s="135">
        <f>Model!S12</f>
        <v>92.616429027307831</v>
      </c>
      <c r="I11" s="136">
        <f>Model!T12</f>
        <v>2.5088509564940957</v>
      </c>
      <c r="J11" s="133">
        <f>Model!U12</f>
        <v>31.062932300091123</v>
      </c>
      <c r="K11" s="124"/>
      <c r="L11" s="124"/>
      <c r="M11" s="124"/>
      <c r="N11" s="124"/>
      <c r="O11" s="132">
        <f t="shared" si="1"/>
        <v>6</v>
      </c>
      <c r="P11" s="133">
        <f>Model!N12</f>
        <v>184.54374133686397</v>
      </c>
      <c r="Q11" s="134" cm="1">
        <f t="array" ref="Q11">TREND(Model!$D$33:$D$42,Model!$F$33:$F$42,S11)</f>
        <v>7546.2019569477943</v>
      </c>
      <c r="R11" s="133">
        <f>Model!P12</f>
        <v>36.915875288475227</v>
      </c>
      <c r="S11" s="134">
        <f t="shared" si="4"/>
        <v>254130.93769353355</v>
      </c>
      <c r="T11" s="134">
        <f>Model!R12</f>
        <v>17091.782321959516</v>
      </c>
      <c r="U11" s="134">
        <f>Model!S12</f>
        <v>92.616429027307831</v>
      </c>
      <c r="V11" s="136">
        <f t="shared" si="2"/>
        <v>2.5088509564940957</v>
      </c>
      <c r="W11" s="133">
        <f t="shared" si="3"/>
        <v>33.676667964015323</v>
      </c>
      <c r="X11" s="124"/>
    </row>
    <row r="12" spans="2:24" ht="21" x14ac:dyDescent="0.5">
      <c r="B12" s="132">
        <f t="shared" si="0"/>
        <v>7</v>
      </c>
      <c r="C12" s="133">
        <f>Model!N13</f>
        <v>185.31210542513833</v>
      </c>
      <c r="D12" s="134">
        <f>Model!O13</f>
        <v>6773.7000085335503</v>
      </c>
      <c r="E12" s="135">
        <f>Model!P13</f>
        <v>36.552927791703084</v>
      </c>
      <c r="F12" s="134">
        <f>Model!Q13</f>
        <v>209365.28861614969</v>
      </c>
      <c r="G12" s="134">
        <f>Model!R13</f>
        <v>17338.772048681163</v>
      </c>
      <c r="H12" s="135">
        <f>Model!S13</f>
        <v>93.565242318643953</v>
      </c>
      <c r="I12" s="136">
        <f>Model!T13</f>
        <v>2.5597195073353802</v>
      </c>
      <c r="J12" s="133">
        <f>Model!U13</f>
        <v>30.90855638017479</v>
      </c>
      <c r="K12" s="124"/>
      <c r="L12" s="124"/>
      <c r="M12" s="124"/>
      <c r="N12" s="124"/>
      <c r="O12" s="132">
        <f t="shared" si="1"/>
        <v>7</v>
      </c>
      <c r="P12" s="133">
        <f>Model!N13</f>
        <v>185.31210542513833</v>
      </c>
      <c r="Q12" s="134" cm="1">
        <f t="array" ref="Q12">TREND(Model!$D$33:$D$42,Model!$F$33:$F$42,S12)</f>
        <v>7633.9105677092439</v>
      </c>
      <c r="R12" s="133">
        <f>Model!P13</f>
        <v>36.552927791703084</v>
      </c>
      <c r="S12" s="134">
        <f t="shared" si="4"/>
        <v>259213.55644740423</v>
      </c>
      <c r="T12" s="134">
        <f>Model!R13</f>
        <v>17338.772048681163</v>
      </c>
      <c r="U12" s="134">
        <f>Model!S13</f>
        <v>93.565242318643953</v>
      </c>
      <c r="V12" s="136">
        <f t="shared" si="2"/>
        <v>2.5597195073353802</v>
      </c>
      <c r="W12" s="133">
        <f t="shared" si="3"/>
        <v>33.955540105991588</v>
      </c>
      <c r="X12" s="124"/>
    </row>
    <row r="13" spans="2:24" ht="21" x14ac:dyDescent="0.5">
      <c r="B13" s="132">
        <f t="shared" si="0"/>
        <v>8</v>
      </c>
      <c r="C13" s="133">
        <f>Model!N14</f>
        <v>186.08366866483269</v>
      </c>
      <c r="D13" s="134">
        <f>Model!O14</f>
        <v>6735.2205142804805</v>
      </c>
      <c r="E13" s="135">
        <f>Model!P14</f>
        <v>36.194581515972374</v>
      </c>
      <c r="F13" s="134">
        <f>Model!Q14</f>
        <v>207135.44370773991</v>
      </c>
      <c r="G13" s="134">
        <f>Model!R14</f>
        <v>17589.330971637402</v>
      </c>
      <c r="H13" s="135">
        <f>Model!S14</f>
        <v>94.523775771632501</v>
      </c>
      <c r="I13" s="136">
        <f>Model!T14</f>
        <v>2.6115449277931266</v>
      </c>
      <c r="J13" s="133">
        <f>Model!U14</f>
        <v>30.754070081084503</v>
      </c>
      <c r="K13" s="124"/>
      <c r="L13" s="124"/>
      <c r="M13" s="124"/>
      <c r="N13" s="124"/>
      <c r="O13" s="132">
        <f t="shared" si="1"/>
        <v>8</v>
      </c>
      <c r="P13" s="133">
        <f>Model!N14</f>
        <v>186.08366866483269</v>
      </c>
      <c r="Q13" s="134" cm="1">
        <f t="array" ref="Q13">TREND(Model!$D$33:$D$42,Model!$F$33:$F$42,S13)</f>
        <v>7723.3733506859217</v>
      </c>
      <c r="R13" s="133">
        <f>Model!P14</f>
        <v>36.194581515972374</v>
      </c>
      <c r="S13" s="134">
        <f t="shared" si="4"/>
        <v>264397.82757635234</v>
      </c>
      <c r="T13" s="134">
        <f>Model!R14</f>
        <v>17589.330971637402</v>
      </c>
      <c r="U13" s="134">
        <f>Model!S14</f>
        <v>94.523775771632501</v>
      </c>
      <c r="V13" s="136">
        <f t="shared" si="2"/>
        <v>2.6115449277931266</v>
      </c>
      <c r="W13" s="133">
        <f t="shared" si="3"/>
        <v>34.233464520120712</v>
      </c>
      <c r="X13" s="124"/>
    </row>
    <row r="14" spans="2:24" ht="21" x14ac:dyDescent="0.5">
      <c r="B14" s="132">
        <f t="shared" si="0"/>
        <v>9</v>
      </c>
      <c r="C14" s="133">
        <f>Model!N15</f>
        <v>186.85844437589517</v>
      </c>
      <c r="D14" s="134">
        <f>Model!O15</f>
        <v>6697.1508458629414</v>
      </c>
      <c r="E14" s="135">
        <f>Model!P15</f>
        <v>35.840771704117202</v>
      </c>
      <c r="F14" s="134">
        <f>Model!Q15</f>
        <v>204929.34776148343</v>
      </c>
      <c r="G14" s="134">
        <f>Model!R15</f>
        <v>17843.510668527157</v>
      </c>
      <c r="H14" s="135">
        <f>Model!S15</f>
        <v>95.492128964919161</v>
      </c>
      <c r="I14" s="136">
        <f>Model!T15</f>
        <v>2.6643435513401492</v>
      </c>
      <c r="J14" s="133">
        <f>Model!U15</f>
        <v>30.59948214964805</v>
      </c>
      <c r="K14" s="124"/>
      <c r="L14" s="124"/>
      <c r="M14" s="124"/>
      <c r="N14" s="124"/>
      <c r="O14" s="132">
        <f t="shared" si="1"/>
        <v>9</v>
      </c>
      <c r="P14" s="133">
        <f>Model!N15</f>
        <v>186.85844437589517</v>
      </c>
      <c r="Q14" s="134" cm="1">
        <f t="array" ref="Q14">TREND(Model!$D$33:$D$42,Model!$F$33:$F$42,S14)</f>
        <v>7814.6253893221337</v>
      </c>
      <c r="R14" s="133">
        <f>Model!P15</f>
        <v>35.840771704117202</v>
      </c>
      <c r="S14" s="134">
        <f t="shared" si="4"/>
        <v>269685.78412787942</v>
      </c>
      <c r="T14" s="134">
        <f>Model!R15</f>
        <v>17843.510668527157</v>
      </c>
      <c r="U14" s="134">
        <f>Model!S15</f>
        <v>95.492128964919161</v>
      </c>
      <c r="V14" s="136">
        <f t="shared" si="2"/>
        <v>2.6643435513401492</v>
      </c>
      <c r="W14" s="133">
        <f t="shared" si="3"/>
        <v>34.510391822028573</v>
      </c>
      <c r="X14" s="124"/>
    </row>
    <row r="15" spans="2:24" ht="21" x14ac:dyDescent="0.5">
      <c r="B15" s="132">
        <f t="shared" si="0"/>
        <v>10</v>
      </c>
      <c r="C15" s="133">
        <f>Model!N16</f>
        <v>187.63644593373272</v>
      </c>
      <c r="D15" s="134">
        <f>Model!O16</f>
        <v>6659.4866384310653</v>
      </c>
      <c r="E15" s="135">
        <f>Model!P16</f>
        <v>35.491434541362963</v>
      </c>
      <c r="F15" s="134">
        <f>Model!Q16</f>
        <v>202746.74783906995</v>
      </c>
      <c r="G15" s="134">
        <f>Model!R16</f>
        <v>18101.363462387748</v>
      </c>
      <c r="H15" s="135">
        <f>Model!S16</f>
        <v>96.470402497287651</v>
      </c>
      <c r="I15" s="136">
        <f>Model!T16</f>
        <v>2.7181319589902082</v>
      </c>
      <c r="J15" s="133">
        <f>Model!U16</f>
        <v>30.44480135586485</v>
      </c>
      <c r="K15" s="124"/>
      <c r="L15" s="124"/>
      <c r="M15" s="124"/>
      <c r="N15" s="124"/>
      <c r="O15" s="132">
        <f t="shared" si="1"/>
        <v>10</v>
      </c>
      <c r="P15" s="133">
        <f>Model!N16</f>
        <v>187.63644593373272</v>
      </c>
      <c r="Q15" s="134" cm="1">
        <f t="array" ref="Q15">TREND(Model!$D$33:$D$42,Model!$F$33:$F$42,S15)</f>
        <v>7907.7024687310695</v>
      </c>
      <c r="R15" s="133">
        <f>Model!P16</f>
        <v>35.491434541362963</v>
      </c>
      <c r="S15" s="134">
        <f t="shared" si="4"/>
        <v>275079.49981043703</v>
      </c>
      <c r="T15" s="134">
        <f>Model!R16</f>
        <v>18101.363462387748</v>
      </c>
      <c r="U15" s="134">
        <f>Model!S16</f>
        <v>96.470402497287651</v>
      </c>
      <c r="V15" s="136">
        <f t="shared" si="2"/>
        <v>2.7181319589902082</v>
      </c>
      <c r="W15" s="133">
        <f t="shared" si="3"/>
        <v>34.786273370573383</v>
      </c>
      <c r="X15" s="124"/>
    </row>
    <row r="18" spans="1:26" ht="22" customHeight="1" x14ac:dyDescent="0.45">
      <c r="B18" s="10" t="s">
        <v>149</v>
      </c>
      <c r="C18" s="123" t="str">
        <f>Model!N22</f>
        <v># change here</v>
      </c>
      <c r="D18" s="123"/>
      <c r="O18" s="10" t="s">
        <v>149</v>
      </c>
      <c r="P18" s="123">
        <f>Model!AA22</f>
        <v>0</v>
      </c>
      <c r="Q18" s="123"/>
    </row>
    <row r="19" spans="1:26" ht="47.5" customHeight="1" x14ac:dyDescent="0.35">
      <c r="A19" s="90" t="s">
        <v>130</v>
      </c>
      <c r="B19" s="85" t="s">
        <v>53</v>
      </c>
      <c r="C19" s="85" t="s">
        <v>130</v>
      </c>
      <c r="D19" s="85" t="s">
        <v>106</v>
      </c>
      <c r="E19" s="85" t="s">
        <v>146</v>
      </c>
      <c r="F19" s="86" t="s">
        <v>147</v>
      </c>
      <c r="G19" s="85" t="s">
        <v>26</v>
      </c>
      <c r="H19" s="87" t="s">
        <v>104</v>
      </c>
      <c r="I19" s="87" t="s">
        <v>128</v>
      </c>
      <c r="J19" s="87" t="s">
        <v>107</v>
      </c>
      <c r="K19" s="89" t="s">
        <v>118</v>
      </c>
      <c r="L19" s="89" t="s">
        <v>122</v>
      </c>
      <c r="M19" s="88" t="s">
        <v>129</v>
      </c>
      <c r="O19" s="85" t="s">
        <v>53</v>
      </c>
      <c r="P19" s="85" t="s">
        <v>130</v>
      </c>
      <c r="Q19" s="85" t="s">
        <v>106</v>
      </c>
      <c r="R19" s="85" t="s">
        <v>146</v>
      </c>
      <c r="S19" s="86" t="s">
        <v>147</v>
      </c>
      <c r="T19" s="85" t="s">
        <v>26</v>
      </c>
      <c r="U19" s="87" t="s">
        <v>104</v>
      </c>
      <c r="V19" s="87" t="s">
        <v>128</v>
      </c>
      <c r="W19" s="87" t="s">
        <v>107</v>
      </c>
      <c r="X19" s="89" t="s">
        <v>118</v>
      </c>
      <c r="Y19" s="89" t="s">
        <v>122</v>
      </c>
      <c r="Z19" s="88" t="s">
        <v>129</v>
      </c>
    </row>
    <row r="20" spans="1:26" ht="22" customHeight="1" x14ac:dyDescent="0.55000000000000004">
      <c r="A20" s="91">
        <v>2</v>
      </c>
      <c r="B20" s="103">
        <f>Model!M24</f>
        <v>2021</v>
      </c>
      <c r="C20" s="104">
        <v>2.3000000000000003</v>
      </c>
      <c r="D20" s="105">
        <v>32</v>
      </c>
      <c r="E20" s="106">
        <v>0</v>
      </c>
      <c r="F20" s="106">
        <v>0</v>
      </c>
      <c r="G20" s="107">
        <f t="shared" ref="G20:G29" si="5">D20/(J20/H20)</f>
        <v>13.913043478260867</v>
      </c>
      <c r="H20" s="108">
        <f t="shared" ref="H20:H29" si="6">I20/D20</f>
        <v>6976.7999257851243</v>
      </c>
      <c r="I20" s="108">
        <f>Model!Q7</f>
        <v>223257.59762512398</v>
      </c>
      <c r="J20" s="108">
        <f t="shared" ref="J20:J29" si="7">C20*(I20/D20)</f>
        <v>16046.639829305788</v>
      </c>
      <c r="K20" s="109">
        <f>((J20/1000)/K95-1)*100</f>
        <v>2.325212532239429</v>
      </c>
      <c r="L20" s="110">
        <f t="shared" ref="L20:L29" si="8">((1+K20/100)*(1+F20/100)-1)*100</f>
        <v>2.325212532239429</v>
      </c>
      <c r="M20" s="111" t="str">
        <f t="shared" ref="M20:M29" si="9">IF(L20&gt;E20,"No","Yes")</f>
        <v>No</v>
      </c>
      <c r="O20" s="103">
        <f>B20</f>
        <v>2021</v>
      </c>
      <c r="P20" s="104">
        <v>2.3000000000000003</v>
      </c>
      <c r="Q20" s="105">
        <v>32</v>
      </c>
      <c r="R20" s="106">
        <v>0</v>
      </c>
      <c r="S20" s="106">
        <v>0</v>
      </c>
      <c r="T20" s="107">
        <f t="shared" ref="T20:T29" si="10">Q20/(W20/U20)</f>
        <v>13.913043478260866</v>
      </c>
      <c r="U20" s="108">
        <f t="shared" ref="U20:U29" si="11">V20/Q20</f>
        <v>7192.944375</v>
      </c>
      <c r="V20" s="108">
        <f>S6</f>
        <v>230174.22</v>
      </c>
      <c r="W20" s="108">
        <f t="shared" ref="W20:W29" si="12">P20*(V20/Q20)</f>
        <v>16543.772062500004</v>
      </c>
      <c r="X20" s="109">
        <f>((W20/1000)/K95-1)*100</f>
        <v>5.4952943661523035</v>
      </c>
      <c r="Y20" s="110">
        <f t="shared" ref="Y20:Y29" si="13">((1+X20/100)*(1+S20/100)-1)*100</f>
        <v>5.4952943661523035</v>
      </c>
      <c r="Z20" s="111" t="str">
        <f t="shared" ref="Z20:Z29" si="14">IF(Y20&gt;R20,"No","Yes")</f>
        <v>No</v>
      </c>
    </row>
    <row r="21" spans="1:26" ht="22" customHeight="1" x14ac:dyDescent="0.55000000000000004">
      <c r="A21" s="91">
        <f t="shared" ref="A21:A30" si="15">A20+0.1</f>
        <v>2.1</v>
      </c>
      <c r="B21" s="103">
        <f>Model!M25</f>
        <v>2022</v>
      </c>
      <c r="C21" s="104">
        <v>2.3000000000000003</v>
      </c>
      <c r="D21" s="105">
        <v>31</v>
      </c>
      <c r="E21" s="106">
        <v>10</v>
      </c>
      <c r="F21" s="106">
        <v>5</v>
      </c>
      <c r="G21" s="107">
        <f t="shared" si="5"/>
        <v>13.478260869565215</v>
      </c>
      <c r="H21" s="108">
        <f t="shared" si="6"/>
        <v>7125.1546027779559</v>
      </c>
      <c r="I21" s="108">
        <f>Model!Q8</f>
        <v>220879.79268611662</v>
      </c>
      <c r="J21" s="108">
        <f t="shared" si="7"/>
        <v>16387.855586389302</v>
      </c>
      <c r="K21" s="110">
        <f t="shared" ref="K21:K29" si="16">(J21/J20-1)*100</f>
        <v>2.1264000483163681</v>
      </c>
      <c r="L21" s="110">
        <f t="shared" si="8"/>
        <v>7.2327200507321887</v>
      </c>
      <c r="M21" s="111" t="str">
        <f t="shared" si="9"/>
        <v>Yes</v>
      </c>
      <c r="O21" s="103">
        <f t="shared" ref="O21:O29" si="17">B21</f>
        <v>2022</v>
      </c>
      <c r="P21" s="104">
        <v>2.3000000000000003</v>
      </c>
      <c r="Q21" s="105">
        <v>31</v>
      </c>
      <c r="R21" s="106">
        <v>10</v>
      </c>
      <c r="S21" s="106">
        <v>5</v>
      </c>
      <c r="T21" s="107">
        <f t="shared" si="10"/>
        <v>13.478260869565215</v>
      </c>
      <c r="U21" s="108">
        <f t="shared" si="11"/>
        <v>7573.4743354838711</v>
      </c>
      <c r="V21" s="108">
        <f t="shared" ref="V21:V29" si="18">S7</f>
        <v>234777.70440000002</v>
      </c>
      <c r="W21" s="108">
        <f t="shared" si="12"/>
        <v>17418.990971612904</v>
      </c>
      <c r="X21" s="110">
        <f t="shared" ref="X21:X29" si="19">(W21/W20-1)*100</f>
        <v>5.2903225806451459</v>
      </c>
      <c r="Y21" s="110">
        <f t="shared" si="13"/>
        <v>10.554838709677416</v>
      </c>
      <c r="Z21" s="111" t="str">
        <f t="shared" si="14"/>
        <v>No</v>
      </c>
    </row>
    <row r="22" spans="1:26" ht="22" customHeight="1" x14ac:dyDescent="0.55000000000000004">
      <c r="A22" s="91">
        <f t="shared" si="15"/>
        <v>2.2000000000000002</v>
      </c>
      <c r="B22" s="103">
        <f>Model!M26</f>
        <v>2023</v>
      </c>
      <c r="C22" s="104">
        <v>2.4000000000000004</v>
      </c>
      <c r="D22" s="105">
        <v>31</v>
      </c>
      <c r="E22" s="106">
        <v>10</v>
      </c>
      <c r="F22" s="106">
        <f t="shared" ref="F22:F29" si="20">F21</f>
        <v>5</v>
      </c>
      <c r="G22" s="107">
        <f t="shared" si="5"/>
        <v>12.916666666666664</v>
      </c>
      <c r="H22" s="108">
        <f t="shared" si="6"/>
        <v>7049.2681470161024</v>
      </c>
      <c r="I22" s="108">
        <f>Model!Q9</f>
        <v>218527.31255749919</v>
      </c>
      <c r="J22" s="108">
        <f t="shared" si="7"/>
        <v>16918.243552838649</v>
      </c>
      <c r="K22" s="110">
        <f t="shared" si="16"/>
        <v>3.2364696140589233</v>
      </c>
      <c r="L22" s="110">
        <f t="shared" si="8"/>
        <v>8.3982930947618772</v>
      </c>
      <c r="M22" s="111" t="str">
        <f t="shared" si="9"/>
        <v>Yes</v>
      </c>
      <c r="O22" s="103">
        <f t="shared" si="17"/>
        <v>2023</v>
      </c>
      <c r="P22" s="104">
        <v>2.4000000000000004</v>
      </c>
      <c r="Q22" s="105">
        <v>31</v>
      </c>
      <c r="R22" s="106">
        <v>10</v>
      </c>
      <c r="S22" s="106">
        <f t="shared" ref="S22:S29" si="21">S21</f>
        <v>5</v>
      </c>
      <c r="T22" s="107">
        <f t="shared" si="10"/>
        <v>12.916666666666664</v>
      </c>
      <c r="U22" s="108">
        <f t="shared" si="11"/>
        <v>7724.9438221935488</v>
      </c>
      <c r="V22" s="108">
        <f t="shared" si="18"/>
        <v>239473.25848800002</v>
      </c>
      <c r="W22" s="108">
        <f t="shared" si="12"/>
        <v>18539.865173264519</v>
      </c>
      <c r="X22" s="110">
        <f t="shared" si="19"/>
        <v>6.434782608695655</v>
      </c>
      <c r="Y22" s="110">
        <f t="shared" si="13"/>
        <v>11.756521739130443</v>
      </c>
      <c r="Z22" s="111" t="str">
        <f t="shared" si="14"/>
        <v>No</v>
      </c>
    </row>
    <row r="23" spans="1:26" ht="22" customHeight="1" x14ac:dyDescent="0.55000000000000004">
      <c r="A23" s="91">
        <f t="shared" si="15"/>
        <v>2.3000000000000003</v>
      </c>
      <c r="B23" s="103">
        <f>Model!M27</f>
        <v>2024</v>
      </c>
      <c r="C23" s="104">
        <v>2.4000000000000004</v>
      </c>
      <c r="D23" s="105">
        <v>30</v>
      </c>
      <c r="E23" s="106">
        <v>10</v>
      </c>
      <c r="F23" s="106">
        <f t="shared" si="20"/>
        <v>5</v>
      </c>
      <c r="G23" s="107">
        <f t="shared" si="5"/>
        <v>12.499999999999998</v>
      </c>
      <c r="H23" s="108">
        <f t="shared" si="6"/>
        <v>7206.662917246349</v>
      </c>
      <c r="I23" s="108">
        <f>Model!Q10</f>
        <v>216199.88751739048</v>
      </c>
      <c r="J23" s="108">
        <f t="shared" si="7"/>
        <v>17295.991001391241</v>
      </c>
      <c r="K23" s="110">
        <f t="shared" si="16"/>
        <v>2.2327817150333606</v>
      </c>
      <c r="L23" s="110">
        <f t="shared" si="8"/>
        <v>7.3444208007850342</v>
      </c>
      <c r="M23" s="111" t="str">
        <f t="shared" si="9"/>
        <v>Yes</v>
      </c>
      <c r="O23" s="103">
        <f t="shared" si="17"/>
        <v>2024</v>
      </c>
      <c r="P23" s="104">
        <v>2.4000000000000004</v>
      </c>
      <c r="Q23" s="105">
        <v>30</v>
      </c>
      <c r="R23" s="106">
        <v>10</v>
      </c>
      <c r="S23" s="106">
        <f t="shared" si="21"/>
        <v>5</v>
      </c>
      <c r="T23" s="107">
        <f t="shared" si="10"/>
        <v>12.499999999999998</v>
      </c>
      <c r="U23" s="108">
        <f t="shared" si="11"/>
        <v>8142.0907885920005</v>
      </c>
      <c r="V23" s="108">
        <f t="shared" si="18"/>
        <v>244262.72365776001</v>
      </c>
      <c r="W23" s="108">
        <f t="shared" si="12"/>
        <v>19541.017892620803</v>
      </c>
      <c r="X23" s="110">
        <f t="shared" si="19"/>
        <v>5.4000000000000048</v>
      </c>
      <c r="Y23" s="110">
        <f t="shared" si="13"/>
        <v>10.670000000000002</v>
      </c>
      <c r="Z23" s="111" t="str">
        <f t="shared" si="14"/>
        <v>No</v>
      </c>
    </row>
    <row r="24" spans="1:26" ht="22" customHeight="1" x14ac:dyDescent="0.55000000000000004">
      <c r="A24" s="91">
        <f t="shared" si="15"/>
        <v>2.4000000000000004</v>
      </c>
      <c r="B24" s="103">
        <f>Model!M28</f>
        <v>2025</v>
      </c>
      <c r="C24" s="104">
        <v>2.5000000000000004</v>
      </c>
      <c r="D24" s="105">
        <v>30</v>
      </c>
      <c r="E24" s="106">
        <v>10</v>
      </c>
      <c r="F24" s="106">
        <f t="shared" si="20"/>
        <v>5</v>
      </c>
      <c r="G24" s="107">
        <f t="shared" si="5"/>
        <v>11.999999999999998</v>
      </c>
      <c r="H24" s="108">
        <f t="shared" si="6"/>
        <v>7129.9083572194031</v>
      </c>
      <c r="I24" s="108">
        <f>Model!Q11</f>
        <v>213897.25071658209</v>
      </c>
      <c r="J24" s="108">
        <f t="shared" si="7"/>
        <v>17824.77089304851</v>
      </c>
      <c r="K24" s="110">
        <f t="shared" si="16"/>
        <v>3.0572396320900808</v>
      </c>
      <c r="L24" s="110">
        <f t="shared" si="8"/>
        <v>8.2101016136945972</v>
      </c>
      <c r="M24" s="111" t="str">
        <f t="shared" si="9"/>
        <v>Yes</v>
      </c>
      <c r="O24" s="103">
        <f t="shared" si="17"/>
        <v>2025</v>
      </c>
      <c r="P24" s="104">
        <v>2.5000000000000004</v>
      </c>
      <c r="Q24" s="105">
        <v>30</v>
      </c>
      <c r="R24" s="106">
        <v>10</v>
      </c>
      <c r="S24" s="106">
        <f t="shared" si="21"/>
        <v>5</v>
      </c>
      <c r="T24" s="107">
        <f t="shared" si="10"/>
        <v>11.999999999999998</v>
      </c>
      <c r="U24" s="108">
        <f t="shared" si="11"/>
        <v>8304.9326043638412</v>
      </c>
      <c r="V24" s="108">
        <f t="shared" si="18"/>
        <v>249147.97813091523</v>
      </c>
      <c r="W24" s="108">
        <f t="shared" si="12"/>
        <v>20762.331510909607</v>
      </c>
      <c r="X24" s="110">
        <f t="shared" si="19"/>
        <v>6.2500000000000222</v>
      </c>
      <c r="Y24" s="110">
        <f t="shared" si="13"/>
        <v>11.562500000000032</v>
      </c>
      <c r="Z24" s="111" t="str">
        <f t="shared" si="14"/>
        <v>No</v>
      </c>
    </row>
    <row r="25" spans="1:26" ht="22" customHeight="1" x14ac:dyDescent="0.55000000000000004">
      <c r="A25" s="91">
        <f t="shared" si="15"/>
        <v>2.5000000000000004</v>
      </c>
      <c r="B25" s="103">
        <f>Model!M29</f>
        <v>2026</v>
      </c>
      <c r="C25" s="104">
        <v>2.6000000000000005</v>
      </c>
      <c r="D25" s="105">
        <v>30</v>
      </c>
      <c r="E25" s="106">
        <v>10</v>
      </c>
      <c r="F25" s="106">
        <f t="shared" si="20"/>
        <v>5</v>
      </c>
      <c r="G25" s="107">
        <f t="shared" si="5"/>
        <v>11.538461538461537</v>
      </c>
      <c r="H25" s="108">
        <f t="shared" si="6"/>
        <v>7053.9712715980968</v>
      </c>
      <c r="I25" s="108">
        <f>Model!Q12</f>
        <v>211619.1381479429</v>
      </c>
      <c r="J25" s="108">
        <f t="shared" si="7"/>
        <v>18340.325306155057</v>
      </c>
      <c r="K25" s="110">
        <f t="shared" si="16"/>
        <v>2.8923480486787501</v>
      </c>
      <c r="L25" s="110">
        <f t="shared" si="8"/>
        <v>8.0369654511126996</v>
      </c>
      <c r="M25" s="111" t="str">
        <f t="shared" si="9"/>
        <v>Yes</v>
      </c>
      <c r="O25" s="103">
        <f t="shared" si="17"/>
        <v>2026</v>
      </c>
      <c r="P25" s="104">
        <v>2.6000000000000005</v>
      </c>
      <c r="Q25" s="105">
        <v>30</v>
      </c>
      <c r="R25" s="106">
        <v>10</v>
      </c>
      <c r="S25" s="106">
        <f t="shared" si="21"/>
        <v>5</v>
      </c>
      <c r="T25" s="107">
        <f t="shared" si="10"/>
        <v>11.538461538461537</v>
      </c>
      <c r="U25" s="108">
        <f t="shared" si="11"/>
        <v>8471.0312564511187</v>
      </c>
      <c r="V25" s="108">
        <f t="shared" si="18"/>
        <v>254130.93769353355</v>
      </c>
      <c r="W25" s="108">
        <f t="shared" si="12"/>
        <v>22024.681266772914</v>
      </c>
      <c r="X25" s="110">
        <f t="shared" si="19"/>
        <v>6.0800000000000187</v>
      </c>
      <c r="Y25" s="110">
        <f t="shared" si="13"/>
        <v>11.384000000000016</v>
      </c>
      <c r="Z25" s="111" t="str">
        <f t="shared" si="14"/>
        <v>No</v>
      </c>
    </row>
    <row r="26" spans="1:26" ht="22" customHeight="1" x14ac:dyDescent="0.55000000000000004">
      <c r="A26" s="91">
        <f t="shared" si="15"/>
        <v>2.6000000000000005</v>
      </c>
      <c r="B26" s="103">
        <f>Model!M30</f>
        <v>2027</v>
      </c>
      <c r="C26" s="104">
        <v>2.7000000000000006</v>
      </c>
      <c r="D26" s="105">
        <v>30</v>
      </c>
      <c r="E26" s="106">
        <v>10</v>
      </c>
      <c r="F26" s="106">
        <f t="shared" si="20"/>
        <v>5</v>
      </c>
      <c r="G26" s="107">
        <f t="shared" si="5"/>
        <v>11.111111111111109</v>
      </c>
      <c r="H26" s="108">
        <f t="shared" si="6"/>
        <v>6978.8429538716564</v>
      </c>
      <c r="I26" s="108">
        <f>Model!Q13</f>
        <v>209365.28861614969</v>
      </c>
      <c r="J26" s="108">
        <f t="shared" si="7"/>
        <v>18842.875975453477</v>
      </c>
      <c r="K26" s="110">
        <f t="shared" si="16"/>
        <v>2.7401404332221047</v>
      </c>
      <c r="L26" s="110">
        <f t="shared" si="8"/>
        <v>7.8771474548832154</v>
      </c>
      <c r="M26" s="111" t="str">
        <f t="shared" si="9"/>
        <v>Yes</v>
      </c>
      <c r="O26" s="103">
        <f t="shared" si="17"/>
        <v>2027</v>
      </c>
      <c r="P26" s="104">
        <v>2.7000000000000006</v>
      </c>
      <c r="Q26" s="105">
        <v>30</v>
      </c>
      <c r="R26" s="106">
        <v>10</v>
      </c>
      <c r="S26" s="106">
        <f t="shared" si="21"/>
        <v>5</v>
      </c>
      <c r="T26" s="107">
        <f t="shared" si="10"/>
        <v>11.111111111111109</v>
      </c>
      <c r="U26" s="108">
        <f t="shared" si="11"/>
        <v>8640.4518815801403</v>
      </c>
      <c r="V26" s="108">
        <f t="shared" si="18"/>
        <v>259213.55644740423</v>
      </c>
      <c r="W26" s="108">
        <f t="shared" si="12"/>
        <v>23329.220080266383</v>
      </c>
      <c r="X26" s="110">
        <f t="shared" si="19"/>
        <v>5.9230769230768976</v>
      </c>
      <c r="Y26" s="110">
        <f t="shared" si="13"/>
        <v>11.219230769230748</v>
      </c>
      <c r="Z26" s="111" t="str">
        <f t="shared" si="14"/>
        <v>No</v>
      </c>
    </row>
    <row r="27" spans="1:26" ht="22" customHeight="1" x14ac:dyDescent="0.55000000000000004">
      <c r="A27" s="91">
        <f t="shared" si="15"/>
        <v>2.7000000000000006</v>
      </c>
      <c r="B27" s="103">
        <f>Model!M31</f>
        <v>2028</v>
      </c>
      <c r="C27" s="104">
        <v>2.7000000000000006</v>
      </c>
      <c r="D27" s="105">
        <v>29</v>
      </c>
      <c r="E27" s="106">
        <v>10</v>
      </c>
      <c r="F27" s="106">
        <f t="shared" si="20"/>
        <v>5</v>
      </c>
      <c r="G27" s="107">
        <f t="shared" si="5"/>
        <v>10.74074074074074</v>
      </c>
      <c r="H27" s="108">
        <f t="shared" si="6"/>
        <v>7142.6015071634447</v>
      </c>
      <c r="I27" s="108">
        <f>Model!Q14</f>
        <v>207135.44370773991</v>
      </c>
      <c r="J27" s="108">
        <f t="shared" si="7"/>
        <v>19285.024069341303</v>
      </c>
      <c r="K27" s="110">
        <f t="shared" si="16"/>
        <v>2.3465000484204745</v>
      </c>
      <c r="L27" s="110">
        <f t="shared" si="8"/>
        <v>7.4638250508415105</v>
      </c>
      <c r="M27" s="111" t="str">
        <f t="shared" si="9"/>
        <v>Yes</v>
      </c>
      <c r="O27" s="103">
        <f t="shared" si="17"/>
        <v>2028</v>
      </c>
      <c r="P27" s="104">
        <v>2.7000000000000006</v>
      </c>
      <c r="Q27" s="105">
        <v>29</v>
      </c>
      <c r="R27" s="106">
        <v>10</v>
      </c>
      <c r="S27" s="106">
        <f t="shared" si="21"/>
        <v>5</v>
      </c>
      <c r="T27" s="107">
        <f t="shared" si="10"/>
        <v>10.740740740740739</v>
      </c>
      <c r="U27" s="108">
        <f t="shared" si="11"/>
        <v>9117.1664681500806</v>
      </c>
      <c r="V27" s="108">
        <f t="shared" si="18"/>
        <v>264397.82757635234</v>
      </c>
      <c r="W27" s="108">
        <f t="shared" si="12"/>
        <v>24616.349464005223</v>
      </c>
      <c r="X27" s="110">
        <f t="shared" si="19"/>
        <v>5.5172413793103781</v>
      </c>
      <c r="Y27" s="110">
        <f t="shared" si="13"/>
        <v>10.793103448275909</v>
      </c>
      <c r="Z27" s="111" t="str">
        <f t="shared" si="14"/>
        <v>No</v>
      </c>
    </row>
    <row r="28" spans="1:26" ht="22" customHeight="1" x14ac:dyDescent="0.55000000000000004">
      <c r="A28" s="91">
        <f t="shared" si="15"/>
        <v>2.8000000000000007</v>
      </c>
      <c r="B28" s="103">
        <f>Model!M32</f>
        <v>2029</v>
      </c>
      <c r="C28" s="104">
        <v>2.8000000000000007</v>
      </c>
      <c r="D28" s="105">
        <v>28</v>
      </c>
      <c r="E28" s="106">
        <v>10</v>
      </c>
      <c r="F28" s="106">
        <f t="shared" si="20"/>
        <v>5</v>
      </c>
      <c r="G28" s="107">
        <f t="shared" si="5"/>
        <v>9.9999999999999982</v>
      </c>
      <c r="H28" s="108">
        <f t="shared" si="6"/>
        <v>7318.9052771958368</v>
      </c>
      <c r="I28" s="108">
        <f>Model!Q15</f>
        <v>204929.34776148343</v>
      </c>
      <c r="J28" s="108">
        <f t="shared" si="7"/>
        <v>20492.934776148348</v>
      </c>
      <c r="K28" s="110">
        <f t="shared" si="16"/>
        <v>6.2634648650884639</v>
      </c>
      <c r="L28" s="110">
        <f t="shared" si="8"/>
        <v>11.576638108342884</v>
      </c>
      <c r="M28" s="111" t="str">
        <f t="shared" si="9"/>
        <v>No</v>
      </c>
      <c r="O28" s="103">
        <f t="shared" si="17"/>
        <v>2029</v>
      </c>
      <c r="P28" s="104">
        <v>2.8000000000000007</v>
      </c>
      <c r="Q28" s="105">
        <v>28</v>
      </c>
      <c r="R28" s="106">
        <v>10</v>
      </c>
      <c r="S28" s="106">
        <f t="shared" si="21"/>
        <v>5</v>
      </c>
      <c r="T28" s="107">
        <f t="shared" si="10"/>
        <v>9.9999999999999982</v>
      </c>
      <c r="U28" s="108">
        <f t="shared" si="11"/>
        <v>9631.6351474242656</v>
      </c>
      <c r="V28" s="108">
        <f t="shared" si="18"/>
        <v>269685.78412787942</v>
      </c>
      <c r="W28" s="108">
        <f t="shared" si="12"/>
        <v>26968.578412787949</v>
      </c>
      <c r="X28" s="110">
        <f t="shared" si="19"/>
        <v>9.5555555555555838</v>
      </c>
      <c r="Y28" s="110">
        <f t="shared" si="13"/>
        <v>15.033333333333365</v>
      </c>
      <c r="Z28" s="111" t="str">
        <f t="shared" si="14"/>
        <v>No</v>
      </c>
    </row>
    <row r="29" spans="1:26" ht="22" customHeight="1" x14ac:dyDescent="0.55000000000000004">
      <c r="A29" s="91">
        <f t="shared" si="15"/>
        <v>2.9000000000000008</v>
      </c>
      <c r="B29" s="103">
        <f>Model!M33</f>
        <v>2030</v>
      </c>
      <c r="C29" s="104">
        <v>2.9000000000000008</v>
      </c>
      <c r="D29" s="112">
        <v>27</v>
      </c>
      <c r="E29" s="106">
        <v>10</v>
      </c>
      <c r="F29" s="106">
        <f t="shared" si="20"/>
        <v>5</v>
      </c>
      <c r="G29" s="107">
        <f t="shared" si="5"/>
        <v>9.3103448275862046</v>
      </c>
      <c r="H29" s="108">
        <f t="shared" si="6"/>
        <v>7509.1388088544427</v>
      </c>
      <c r="I29" s="108">
        <f>Model!Q16</f>
        <v>202746.74783906995</v>
      </c>
      <c r="J29" s="108">
        <f t="shared" si="7"/>
        <v>21776.502545677889</v>
      </c>
      <c r="K29" s="110">
        <f t="shared" si="16"/>
        <v>6.2634648650884417</v>
      </c>
      <c r="L29" s="110">
        <f t="shared" si="8"/>
        <v>11.576638108342863</v>
      </c>
      <c r="M29" s="111" t="str">
        <f t="shared" si="9"/>
        <v>No</v>
      </c>
      <c r="O29" s="103">
        <f t="shared" si="17"/>
        <v>2030</v>
      </c>
      <c r="P29" s="104">
        <v>2.9000000000000008</v>
      </c>
      <c r="Q29" s="112">
        <v>27</v>
      </c>
      <c r="R29" s="106">
        <v>10</v>
      </c>
      <c r="S29" s="106">
        <f t="shared" si="21"/>
        <v>5</v>
      </c>
      <c r="T29" s="107">
        <f t="shared" si="10"/>
        <v>9.3103448275862046</v>
      </c>
      <c r="U29" s="108">
        <f t="shared" si="11"/>
        <v>10188.12962260878</v>
      </c>
      <c r="V29" s="108">
        <f t="shared" si="18"/>
        <v>275079.49981043703</v>
      </c>
      <c r="W29" s="108">
        <f t="shared" si="12"/>
        <v>29545.575905565471</v>
      </c>
      <c r="X29" s="110">
        <f t="shared" si="19"/>
        <v>9.5555555555555838</v>
      </c>
      <c r="Y29" s="110">
        <f t="shared" si="13"/>
        <v>15.033333333333365</v>
      </c>
      <c r="Z29" s="111" t="str">
        <f t="shared" si="14"/>
        <v>No</v>
      </c>
    </row>
    <row r="30" spans="1:26" x14ac:dyDescent="0.35">
      <c r="A30" s="91">
        <f t="shared" si="15"/>
        <v>3.0000000000000009</v>
      </c>
      <c r="L30" s="92">
        <f>SUM(L20:L29)</f>
        <v>80.041962265736302</v>
      </c>
      <c r="M30" s="44"/>
      <c r="Y30" s="92">
        <f>SUM(Y20:Y29)</f>
        <v>113.5021556991336</v>
      </c>
    </row>
    <row r="31" spans="1:26" x14ac:dyDescent="0.35">
      <c r="Q31" t="s">
        <v>157</v>
      </c>
      <c r="T31" s="99"/>
      <c r="Y31" t="s">
        <v>158</v>
      </c>
    </row>
    <row r="59" spans="1:24" ht="43.5" x14ac:dyDescent="0.35">
      <c r="A59" t="s">
        <v>159</v>
      </c>
      <c r="B59" s="30" t="s">
        <v>53</v>
      </c>
      <c r="C59" s="31" t="s">
        <v>109</v>
      </c>
      <c r="D59" s="31" t="s">
        <v>142</v>
      </c>
      <c r="E59" s="31" t="s">
        <v>104</v>
      </c>
      <c r="F59" s="31" t="s">
        <v>143</v>
      </c>
      <c r="G59" s="31" t="s">
        <v>105</v>
      </c>
      <c r="H59" s="31" t="s">
        <v>144</v>
      </c>
      <c r="I59" s="67" t="s">
        <v>140</v>
      </c>
      <c r="J59" s="67" t="s">
        <v>141</v>
      </c>
      <c r="K59" s="67" t="s">
        <v>137</v>
      </c>
      <c r="L59" s="67" t="s">
        <v>138</v>
      </c>
      <c r="M59" s="79" t="s">
        <v>139</v>
      </c>
      <c r="N59" s="32" t="s">
        <v>111</v>
      </c>
      <c r="O59" s="67" t="s">
        <v>145</v>
      </c>
      <c r="P59" s="35" t="s">
        <v>132</v>
      </c>
      <c r="Q59" s="35" t="s">
        <v>133</v>
      </c>
      <c r="R59" s="68" t="s">
        <v>134</v>
      </c>
      <c r="S59" s="35" t="s">
        <v>113</v>
      </c>
      <c r="T59" s="35" t="s">
        <v>135</v>
      </c>
      <c r="U59" s="80" t="s">
        <v>136</v>
      </c>
      <c r="V59" s="81" t="s">
        <v>100</v>
      </c>
      <c r="W59" s="82" t="s">
        <v>119</v>
      </c>
      <c r="X59" s="71" t="s">
        <v>122</v>
      </c>
    </row>
    <row r="60" spans="1:24" hidden="1" x14ac:dyDescent="0.35">
      <c r="B60" s="2">
        <v>1985</v>
      </c>
      <c r="C60" s="3">
        <f>Model!B7</f>
        <v>251</v>
      </c>
      <c r="D60" s="3"/>
      <c r="E60" s="3">
        <f>Model!D7</f>
        <v>6945</v>
      </c>
      <c r="F60" s="24"/>
      <c r="G60" s="3">
        <f>Model!E7</f>
        <v>27.669322709163346</v>
      </c>
      <c r="H60" s="24"/>
      <c r="I60" s="3">
        <f>Model!F7</f>
        <v>277875</v>
      </c>
      <c r="J60" s="3"/>
      <c r="K60" s="3">
        <f>Model!G7</f>
        <v>10351</v>
      </c>
      <c r="L60" s="3"/>
      <c r="M60" s="26"/>
      <c r="N60" s="26">
        <f>Model!H7</f>
        <v>41.239043824701199</v>
      </c>
      <c r="O60" s="24"/>
      <c r="P60" s="72">
        <f>Model!I7</f>
        <v>1.4904247660187186</v>
      </c>
      <c r="Q60" s="72"/>
      <c r="R60" s="72"/>
      <c r="S60" s="26">
        <f>Model!J7</f>
        <v>40.010799136069117</v>
      </c>
      <c r="T60" s="26"/>
      <c r="U60" s="26"/>
      <c r="V60" s="36"/>
      <c r="W60" s="36"/>
      <c r="X60" s="24"/>
    </row>
    <row r="61" spans="1:24" hidden="1" x14ac:dyDescent="0.35">
      <c r="B61" s="2">
        <v>1986</v>
      </c>
      <c r="C61" s="3">
        <f>Model!B8</f>
        <v>235</v>
      </c>
      <c r="D61" s="3"/>
      <c r="E61" s="3">
        <f>Model!D8</f>
        <v>6762</v>
      </c>
      <c r="F61" s="24"/>
      <c r="G61" s="3">
        <f>Model!E8</f>
        <v>28.774468085106381</v>
      </c>
      <c r="H61" s="24"/>
      <c r="I61" s="3">
        <f>Model!F8</f>
        <v>268668</v>
      </c>
      <c r="J61" s="3"/>
      <c r="K61" s="3">
        <f>Model!G8</f>
        <v>10256</v>
      </c>
      <c r="L61" s="3"/>
      <c r="M61" s="26"/>
      <c r="N61" s="26">
        <f>Model!H8</f>
        <v>43.642553191489363</v>
      </c>
      <c r="O61" s="24"/>
      <c r="P61" s="72">
        <f>Model!I8</f>
        <v>1.5167110322389827</v>
      </c>
      <c r="Q61" s="72"/>
      <c r="R61" s="72"/>
      <c r="S61" s="26">
        <f>Model!J8</f>
        <v>39.732031943212064</v>
      </c>
      <c r="T61" s="26"/>
      <c r="U61" s="26"/>
      <c r="V61" s="73"/>
      <c r="W61" s="73"/>
      <c r="X61" s="24"/>
    </row>
    <row r="62" spans="1:24" hidden="1" x14ac:dyDescent="0.35">
      <c r="B62" s="2">
        <v>1987</v>
      </c>
      <c r="C62" s="3">
        <f>Model!B9</f>
        <v>229</v>
      </c>
      <c r="D62" s="3"/>
      <c r="E62" s="3">
        <f>Model!D9</f>
        <v>6704</v>
      </c>
      <c r="F62" s="24"/>
      <c r="G62" s="3">
        <f>Model!E9</f>
        <v>29.275109170305676</v>
      </c>
      <c r="H62" s="24"/>
      <c r="I62" s="3">
        <f>Model!F9</f>
        <v>261399</v>
      </c>
      <c r="J62" s="3"/>
      <c r="K62" s="3">
        <f>Model!G9</f>
        <v>10190</v>
      </c>
      <c r="L62" s="3"/>
      <c r="M62" s="26"/>
      <c r="N62" s="26">
        <f>Model!H9</f>
        <v>44.497816593886462</v>
      </c>
      <c r="O62" s="24"/>
      <c r="P62" s="72">
        <f>Model!I9</f>
        <v>1.5199880668257757</v>
      </c>
      <c r="Q62" s="72"/>
      <c r="R62" s="72"/>
      <c r="S62" s="26">
        <f>Model!J9</f>
        <v>38.991497613365155</v>
      </c>
      <c r="T62" s="26"/>
      <c r="U62" s="26"/>
      <c r="V62" s="36"/>
      <c r="W62" s="36"/>
      <c r="X62" s="24"/>
    </row>
    <row r="63" spans="1:24" hidden="1" x14ac:dyDescent="0.35">
      <c r="B63" s="2">
        <v>1988</v>
      </c>
      <c r="C63" s="3">
        <f>Model!B10</f>
        <v>220</v>
      </c>
      <c r="D63" s="3"/>
      <c r="E63" s="3">
        <f>Model!D10</f>
        <v>6773</v>
      </c>
      <c r="F63" s="24"/>
      <c r="G63" s="3">
        <f>Model!E10</f>
        <v>30.786363636363635</v>
      </c>
      <c r="H63" s="24"/>
      <c r="I63" s="3">
        <f>Model!F10</f>
        <v>259117</v>
      </c>
      <c r="J63" s="3"/>
      <c r="K63" s="3">
        <f>Model!G10</f>
        <v>9962</v>
      </c>
      <c r="L63" s="3"/>
      <c r="M63" s="26"/>
      <c r="N63" s="26">
        <f>Model!H10</f>
        <v>45.281818181818181</v>
      </c>
      <c r="O63" s="24"/>
      <c r="P63" s="72">
        <f>Model!I10</f>
        <v>1.4708401003986418</v>
      </c>
      <c r="Q63" s="72"/>
      <c r="R63" s="72"/>
      <c r="S63" s="26">
        <f>Model!J10</f>
        <v>38.25734534179832</v>
      </c>
      <c r="T63" s="26"/>
      <c r="U63" s="26"/>
      <c r="V63" s="36"/>
      <c r="W63" s="36"/>
      <c r="X63" s="24"/>
    </row>
    <row r="64" spans="1:24" hidden="1" x14ac:dyDescent="0.35">
      <c r="B64" s="2">
        <v>1989</v>
      </c>
      <c r="C64" s="3">
        <f>Model!B11</f>
        <v>211</v>
      </c>
      <c r="D64" s="3"/>
      <c r="E64" s="3">
        <f>Model!D11</f>
        <v>6739</v>
      </c>
      <c r="F64" s="24"/>
      <c r="G64" s="3">
        <f>Model!E11</f>
        <v>31.938388625592417</v>
      </c>
      <c r="H64" s="24"/>
      <c r="I64" s="3">
        <f>Model!F11</f>
        <v>257690</v>
      </c>
      <c r="J64" s="3"/>
      <c r="K64" s="3">
        <f>Model!G11</f>
        <v>9998</v>
      </c>
      <c r="L64" s="3"/>
      <c r="M64" s="26"/>
      <c r="N64" s="26">
        <f>Model!H11</f>
        <v>47.383886255924168</v>
      </c>
      <c r="O64" s="24"/>
      <c r="P64" s="72">
        <f>Model!I11</f>
        <v>1.483602908443389</v>
      </c>
      <c r="Q64" s="72"/>
      <c r="R64" s="72"/>
      <c r="S64" s="26">
        <f>Model!J11</f>
        <v>38.238611069891675</v>
      </c>
      <c r="T64" s="26"/>
      <c r="U64" s="26"/>
      <c r="V64" s="36"/>
      <c r="W64" s="36"/>
      <c r="X64" s="24"/>
    </row>
    <row r="65" spans="2:24" hidden="1" x14ac:dyDescent="0.35">
      <c r="B65" s="2">
        <v>1990</v>
      </c>
      <c r="C65" s="3">
        <f>Model!B12</f>
        <v>207</v>
      </c>
      <c r="D65" s="3"/>
      <c r="E65" s="3">
        <f>Model!D12</f>
        <v>6658</v>
      </c>
      <c r="F65" s="24"/>
      <c r="G65" s="3">
        <f>Model!E12</f>
        <v>32.164251207729471</v>
      </c>
      <c r="H65" s="24"/>
      <c r="I65" s="3">
        <f>Model!F12</f>
        <v>257757</v>
      </c>
      <c r="J65" s="3"/>
      <c r="K65" s="3">
        <f>Model!G12</f>
        <v>10006</v>
      </c>
      <c r="L65" s="3"/>
      <c r="M65" s="26"/>
      <c r="N65" s="26">
        <f>Model!H12</f>
        <v>48.338164251207729</v>
      </c>
      <c r="O65" s="24"/>
      <c r="P65" s="72">
        <f>Model!I12</f>
        <v>1.5028537098227694</v>
      </c>
      <c r="Q65" s="72"/>
      <c r="R65" s="72"/>
      <c r="S65" s="26">
        <f>Model!J12</f>
        <v>38.713878041453889</v>
      </c>
      <c r="T65" s="26"/>
      <c r="U65" s="26"/>
      <c r="V65" s="36"/>
      <c r="W65" s="36"/>
      <c r="X65" s="24"/>
    </row>
    <row r="66" spans="2:24" hidden="1" x14ac:dyDescent="0.35">
      <c r="B66" s="2">
        <v>1991</v>
      </c>
      <c r="C66" s="3">
        <f>Model!B13</f>
        <v>201</v>
      </c>
      <c r="D66" s="3"/>
      <c r="E66" s="3">
        <f>Model!D13</f>
        <v>6551</v>
      </c>
      <c r="F66" s="24"/>
      <c r="G66" s="3">
        <f>Model!E13</f>
        <v>32.592039800995025</v>
      </c>
      <c r="H66" s="24"/>
      <c r="I66" s="3">
        <f>Model!F13</f>
        <v>260109</v>
      </c>
      <c r="J66" s="3"/>
      <c r="K66" s="3">
        <f>Model!G13</f>
        <v>9843</v>
      </c>
      <c r="L66" s="3"/>
      <c r="M66" s="26"/>
      <c r="N66" s="26">
        <f>Model!H13</f>
        <v>48.970149253731343</v>
      </c>
      <c r="O66" s="24"/>
      <c r="P66" s="72">
        <f>Model!I13</f>
        <v>1.5025186994352007</v>
      </c>
      <c r="Q66" s="72"/>
      <c r="R66" s="72"/>
      <c r="S66" s="26">
        <f>Model!J13</f>
        <v>39.705235841856208</v>
      </c>
      <c r="T66" s="26"/>
      <c r="U66" s="26"/>
      <c r="V66" s="36"/>
      <c r="W66" s="36"/>
      <c r="X66" s="24"/>
    </row>
    <row r="67" spans="2:24" hidden="1" x14ac:dyDescent="0.35">
      <c r="B67" s="2">
        <v>1992</v>
      </c>
      <c r="C67" s="3">
        <f>Model!B14</f>
        <v>193</v>
      </c>
      <c r="D67" s="3"/>
      <c r="E67" s="3">
        <f>Model!D14</f>
        <v>6647</v>
      </c>
      <c r="F67" s="24"/>
      <c r="G67" s="3">
        <f>Model!E14</f>
        <v>34.440414507772019</v>
      </c>
      <c r="H67" s="24"/>
      <c r="I67" s="3">
        <f>Model!F14</f>
        <v>262465</v>
      </c>
      <c r="J67" s="3"/>
      <c r="K67" s="3">
        <f>Model!G14</f>
        <v>10188</v>
      </c>
      <c r="L67" s="3"/>
      <c r="M67" s="26"/>
      <c r="N67" s="26">
        <f>Model!H14</f>
        <v>52.787564766839381</v>
      </c>
      <c r="O67" s="24"/>
      <c r="P67" s="72">
        <f>Model!I14</f>
        <v>1.532721528509102</v>
      </c>
      <c r="Q67" s="72"/>
      <c r="R67" s="72"/>
      <c r="S67" s="26">
        <f>Model!J14</f>
        <v>39.486234391454794</v>
      </c>
      <c r="T67" s="26"/>
      <c r="U67" s="26"/>
      <c r="V67" s="36"/>
      <c r="W67" s="36"/>
      <c r="X67" s="24"/>
    </row>
    <row r="68" spans="2:24" hidden="1" x14ac:dyDescent="0.35">
      <c r="B68" s="2">
        <v>1993</v>
      </c>
      <c r="C68" s="3">
        <f>Model!B15</f>
        <v>192</v>
      </c>
      <c r="D68" s="3"/>
      <c r="E68" s="3">
        <f>Model!D15</f>
        <v>7098</v>
      </c>
      <c r="F68" s="24"/>
      <c r="G68" s="3">
        <f>Model!E15</f>
        <v>36.96875</v>
      </c>
      <c r="H68" s="24"/>
      <c r="I68" s="3">
        <f>Model!F15</f>
        <v>261402</v>
      </c>
      <c r="J68" s="3"/>
      <c r="K68" s="3">
        <f>Model!G15</f>
        <v>10711</v>
      </c>
      <c r="L68" s="3"/>
      <c r="M68" s="26"/>
      <c r="N68" s="26">
        <f>Model!H15</f>
        <v>55.786458333333336</v>
      </c>
      <c r="O68" s="24"/>
      <c r="P68" s="72">
        <f>Model!I15</f>
        <v>1.50901662440124</v>
      </c>
      <c r="Q68" s="72"/>
      <c r="R68" s="72"/>
      <c r="S68" s="26">
        <f>Model!J15</f>
        <v>36.827557058326292</v>
      </c>
      <c r="T68" s="26"/>
      <c r="U68" s="26"/>
      <c r="V68" s="36"/>
      <c r="W68" s="36"/>
      <c r="X68" s="24"/>
    </row>
    <row r="69" spans="2:24" hidden="1" x14ac:dyDescent="0.35">
      <c r="B69" s="2">
        <v>1994</v>
      </c>
      <c r="C69" s="3">
        <f>Model!B16</f>
        <v>193</v>
      </c>
      <c r="D69" s="3"/>
      <c r="E69" s="3">
        <f>Model!D16</f>
        <v>6654</v>
      </c>
      <c r="F69" s="24"/>
      <c r="G69" s="3">
        <f>Model!E16</f>
        <v>34.476683937823836</v>
      </c>
      <c r="H69" s="24"/>
      <c r="I69" s="3">
        <f>Model!F16</f>
        <v>251005</v>
      </c>
      <c r="J69" s="3"/>
      <c r="K69" s="3">
        <f>Model!G16</f>
        <v>10553</v>
      </c>
      <c r="L69" s="3"/>
      <c r="M69" s="26"/>
      <c r="N69" s="26">
        <f>Model!H16</f>
        <v>54.678756476683937</v>
      </c>
      <c r="O69" s="24"/>
      <c r="P69" s="72">
        <f>Model!I16</f>
        <v>1.5859633303276224</v>
      </c>
      <c r="Q69" s="72"/>
      <c r="R69" s="72"/>
      <c r="S69" s="26">
        <f>Model!J16</f>
        <v>37.722422602945599</v>
      </c>
      <c r="T69" s="26"/>
      <c r="U69" s="26"/>
      <c r="V69" s="36"/>
      <c r="W69" s="36"/>
      <c r="X69" s="24"/>
    </row>
    <row r="70" spans="2:24" hidden="1" x14ac:dyDescent="0.35">
      <c r="B70" s="2">
        <v>1995</v>
      </c>
      <c r="C70" s="3">
        <f>Model!B17</f>
        <v>198</v>
      </c>
      <c r="D70" s="3"/>
      <c r="E70" s="3">
        <f>Model!D17</f>
        <v>6998</v>
      </c>
      <c r="F70" s="24"/>
      <c r="G70" s="3">
        <f>Model!E17</f>
        <v>35.343434343434346</v>
      </c>
      <c r="H70" s="24"/>
      <c r="I70" s="3">
        <f>Model!F17</f>
        <v>261553</v>
      </c>
      <c r="J70" s="3"/>
      <c r="K70" s="3">
        <f>Model!G17</f>
        <v>10479</v>
      </c>
      <c r="L70" s="3"/>
      <c r="M70" s="26"/>
      <c r="N70" s="26">
        <f>Model!H17</f>
        <v>52.924242424242422</v>
      </c>
      <c r="O70" s="24"/>
      <c r="P70" s="72">
        <f>Model!I17</f>
        <v>1.4974278365247211</v>
      </c>
      <c r="Q70" s="72"/>
      <c r="R70" s="72"/>
      <c r="S70" s="26">
        <f>Model!J17</f>
        <v>37.375392969419835</v>
      </c>
      <c r="T70" s="26"/>
      <c r="U70" s="26"/>
      <c r="V70" s="36"/>
      <c r="W70" s="36"/>
      <c r="X70" s="24"/>
    </row>
    <row r="71" spans="2:24" hidden="1" x14ac:dyDescent="0.35">
      <c r="B71" s="2">
        <v>1996</v>
      </c>
      <c r="C71" s="3">
        <f>Model!B18</f>
        <v>197</v>
      </c>
      <c r="D71" s="3"/>
      <c r="E71" s="3">
        <f>Model!D18</f>
        <v>7239</v>
      </c>
      <c r="F71" s="24"/>
      <c r="G71" s="3">
        <f>Model!E18</f>
        <v>36.746192893401016</v>
      </c>
      <c r="H71" s="24"/>
      <c r="I71" s="3">
        <f>Model!F18</f>
        <v>269432</v>
      </c>
      <c r="J71" s="3"/>
      <c r="K71" s="3">
        <f>Model!G18</f>
        <v>10649</v>
      </c>
      <c r="L71" s="3"/>
      <c r="M71" s="26"/>
      <c r="N71" s="26">
        <f>Model!H18</f>
        <v>54.055837563451774</v>
      </c>
      <c r="O71" s="24"/>
      <c r="P71" s="72">
        <f>Model!I18</f>
        <v>1.4710595386103051</v>
      </c>
      <c r="Q71" s="72"/>
      <c r="R71" s="72"/>
      <c r="S71" s="26">
        <f>Model!J18</f>
        <v>37.219505456554771</v>
      </c>
      <c r="T71" s="26"/>
      <c r="U71" s="26"/>
      <c r="V71" s="36"/>
      <c r="W71" s="36"/>
      <c r="X71" s="24"/>
    </row>
    <row r="72" spans="2:24" hidden="1" x14ac:dyDescent="0.35">
      <c r="B72" s="2">
        <v>1997</v>
      </c>
      <c r="C72" s="3">
        <f>Model!B19</f>
        <v>196</v>
      </c>
      <c r="D72" s="3"/>
      <c r="E72" s="3">
        <f>Model!D19</f>
        <v>7473</v>
      </c>
      <c r="F72" s="24"/>
      <c r="G72" s="3">
        <f>Model!E19</f>
        <v>38.127551020408163</v>
      </c>
      <c r="H72" s="24"/>
      <c r="I72" s="3">
        <f>Model!F19</f>
        <v>280314</v>
      </c>
      <c r="J72" s="3"/>
      <c r="K72" s="3">
        <f>Model!G19</f>
        <v>10577</v>
      </c>
      <c r="L72" s="3"/>
      <c r="M72" s="26"/>
      <c r="N72" s="26">
        <f>Model!H19</f>
        <v>53.964285714285715</v>
      </c>
      <c r="O72" s="24"/>
      <c r="P72" s="72">
        <f>Model!I19</f>
        <v>1.4153619697577948</v>
      </c>
      <c r="Q72" s="72"/>
      <c r="R72" s="72"/>
      <c r="S72" s="26">
        <f>Model!J19</f>
        <v>37.510236852669614</v>
      </c>
      <c r="T72" s="26"/>
      <c r="U72" s="26"/>
      <c r="V72" s="36"/>
      <c r="W72" s="36"/>
      <c r="X72" s="24"/>
    </row>
    <row r="73" spans="2:24" hidden="1" x14ac:dyDescent="0.35">
      <c r="B73" s="2">
        <v>1998</v>
      </c>
      <c r="C73" s="3">
        <f>Model!B20</f>
        <v>193</v>
      </c>
      <c r="D73" s="3"/>
      <c r="E73" s="3">
        <f>Model!D20</f>
        <v>7684</v>
      </c>
      <c r="F73" s="24"/>
      <c r="G73" s="3">
        <f>Model!E20</f>
        <v>39.813471502590673</v>
      </c>
      <c r="H73" s="24"/>
      <c r="I73" s="3">
        <f>Model!F20</f>
        <v>288228</v>
      </c>
      <c r="J73" s="3"/>
      <c r="K73" s="3">
        <f>Model!G20</f>
        <v>10968</v>
      </c>
      <c r="L73" s="3"/>
      <c r="M73" s="26"/>
      <c r="N73" s="26">
        <f>Model!H20</f>
        <v>56.829015544041454</v>
      </c>
      <c r="O73" s="24"/>
      <c r="P73" s="72">
        <f>Model!I20</f>
        <v>1.4273815720978658</v>
      </c>
      <c r="Q73" s="72"/>
      <c r="R73" s="72"/>
      <c r="S73" s="26">
        <f>Model!J20</f>
        <v>37.510150963040083</v>
      </c>
      <c r="T73" s="26"/>
      <c r="U73" s="26"/>
      <c r="V73" s="36"/>
      <c r="W73" s="36"/>
      <c r="X73" s="24"/>
    </row>
    <row r="74" spans="2:24" hidden="1" x14ac:dyDescent="0.35">
      <c r="B74" s="2">
        <v>1999</v>
      </c>
      <c r="C74" s="3">
        <f>Model!B21</f>
        <v>199</v>
      </c>
      <c r="D74" s="3"/>
      <c r="E74" s="3">
        <f>Model!D21</f>
        <v>8061</v>
      </c>
      <c r="F74" s="24"/>
      <c r="G74" s="3">
        <f>Model!E21</f>
        <v>40.507537688442213</v>
      </c>
      <c r="H74" s="24"/>
      <c r="I74" s="3">
        <f>Model!F21</f>
        <v>299959</v>
      </c>
      <c r="J74" s="3"/>
      <c r="K74" s="3">
        <f>Model!G21</f>
        <v>11272</v>
      </c>
      <c r="L74" s="3"/>
      <c r="M74" s="26"/>
      <c r="N74" s="26">
        <f>Model!H21</f>
        <v>56.643216080402013</v>
      </c>
      <c r="O74" s="24"/>
      <c r="P74" s="72">
        <f>Model!I21</f>
        <v>1.3983376752263987</v>
      </c>
      <c r="Q74" s="72"/>
      <c r="R74" s="72"/>
      <c r="S74" s="26">
        <f>Model!J21</f>
        <v>37.211140057064881</v>
      </c>
      <c r="T74" s="26"/>
      <c r="U74" s="26"/>
      <c r="V74" s="36"/>
      <c r="W74" s="36"/>
      <c r="X74" s="24"/>
    </row>
    <row r="75" spans="2:24" hidden="1" x14ac:dyDescent="0.35">
      <c r="B75" s="2">
        <v>2000</v>
      </c>
      <c r="C75" s="3">
        <f>Model!B22</f>
        <v>201</v>
      </c>
      <c r="D75" s="3"/>
      <c r="E75" s="3">
        <f>Model!D22</f>
        <v>8196</v>
      </c>
      <c r="F75" s="24"/>
      <c r="G75" s="3">
        <f>Model!E22</f>
        <v>40.776119402985074</v>
      </c>
      <c r="H75" s="24"/>
      <c r="I75" s="3">
        <f>Model!F22</f>
        <v>305705</v>
      </c>
      <c r="J75" s="3"/>
      <c r="K75" s="3">
        <f>Model!G22</f>
        <v>11923</v>
      </c>
      <c r="L75" s="3"/>
      <c r="M75" s="26"/>
      <c r="N75" s="26">
        <f>Model!H22</f>
        <v>59.318407960199004</v>
      </c>
      <c r="O75" s="24"/>
      <c r="P75" s="72">
        <f>Model!I22</f>
        <v>1.4547340165934601</v>
      </c>
      <c r="Q75" s="72"/>
      <c r="R75" s="72"/>
      <c r="S75" s="26">
        <f>Model!J22</f>
        <v>37.299292337725717</v>
      </c>
      <c r="T75" s="26"/>
      <c r="U75" s="26"/>
      <c r="V75" s="36"/>
      <c r="W75" s="36"/>
      <c r="X75" s="24"/>
    </row>
    <row r="76" spans="2:24" hidden="1" x14ac:dyDescent="0.35">
      <c r="B76" s="2">
        <v>2001</v>
      </c>
      <c r="C76" s="3">
        <f>Model!B23</f>
        <v>197</v>
      </c>
      <c r="D76" s="3"/>
      <c r="E76" s="3">
        <f>Model!D23</f>
        <v>8088</v>
      </c>
      <c r="F76" s="24"/>
      <c r="G76" s="3">
        <f>Model!E23</f>
        <v>41.055837563451774</v>
      </c>
      <c r="H76" s="24"/>
      <c r="I76" s="3">
        <f>Model!F23</f>
        <v>302566</v>
      </c>
      <c r="J76" s="3"/>
      <c r="K76" s="3">
        <f>Model!G23</f>
        <v>12065</v>
      </c>
      <c r="L76" s="3"/>
      <c r="M76" s="26"/>
      <c r="N76" s="26">
        <f>Model!H23</f>
        <v>61.243654822335024</v>
      </c>
      <c r="O76" s="24"/>
      <c r="P76" s="72">
        <f>Model!I23</f>
        <v>1.4917161226508409</v>
      </c>
      <c r="Q76" s="72"/>
      <c r="R76" s="72"/>
      <c r="S76" s="26">
        <f>Model!J23</f>
        <v>37.409248269040553</v>
      </c>
      <c r="T76" s="26"/>
      <c r="U76" s="26"/>
      <c r="V76" s="36"/>
      <c r="W76" s="36"/>
      <c r="X76" s="24"/>
    </row>
    <row r="77" spans="2:24" hidden="1" x14ac:dyDescent="0.35">
      <c r="B77" s="2">
        <v>2002</v>
      </c>
      <c r="C77" s="3">
        <f>Model!B24</f>
        <v>183</v>
      </c>
      <c r="D77" s="3"/>
      <c r="E77" s="3">
        <f>Model!D24</f>
        <v>8040</v>
      </c>
      <c r="F77" s="24"/>
      <c r="G77" s="3">
        <f>Model!E24</f>
        <v>43.934426229508198</v>
      </c>
      <c r="H77" s="24"/>
      <c r="I77" s="3">
        <f>Model!F24</f>
        <v>302501</v>
      </c>
      <c r="J77" s="3"/>
      <c r="K77" s="3">
        <f>Model!G24</f>
        <v>12423</v>
      </c>
      <c r="L77" s="3"/>
      <c r="M77" s="26"/>
      <c r="N77" s="26">
        <f>Model!H24</f>
        <v>67.885245901639351</v>
      </c>
      <c r="O77" s="24"/>
      <c r="P77" s="72">
        <f>Model!I24</f>
        <v>1.5451492537313434</v>
      </c>
      <c r="Q77" s="72"/>
      <c r="R77" s="72"/>
      <c r="S77" s="26">
        <f>Model!J24</f>
        <v>37.624502487562189</v>
      </c>
      <c r="T77" s="26"/>
      <c r="U77" s="26"/>
      <c r="V77" s="36"/>
      <c r="W77" s="36"/>
      <c r="X77" s="24"/>
    </row>
    <row r="78" spans="2:24" hidden="1" x14ac:dyDescent="0.35">
      <c r="B78" s="2">
        <v>2003</v>
      </c>
      <c r="C78" s="3">
        <f>Model!B25</f>
        <v>178</v>
      </c>
      <c r="D78" s="3"/>
      <c r="E78" s="3">
        <f>Model!D25</f>
        <v>7944</v>
      </c>
      <c r="F78" s="24"/>
      <c r="G78" s="3">
        <f>Model!E25</f>
        <v>44.629213483146067</v>
      </c>
      <c r="H78" s="24"/>
      <c r="I78" s="3">
        <f>Model!F25</f>
        <v>299939</v>
      </c>
      <c r="J78" s="3"/>
      <c r="K78" s="3">
        <f>Model!G25</f>
        <v>12025</v>
      </c>
      <c r="L78" s="3"/>
      <c r="M78" s="26"/>
      <c r="N78" s="26">
        <f>Model!H25</f>
        <v>67.556179775280896</v>
      </c>
      <c r="O78" s="24"/>
      <c r="P78" s="72">
        <f>Model!I25</f>
        <v>1.5137210473313192</v>
      </c>
      <c r="Q78" s="72"/>
      <c r="R78" s="72"/>
      <c r="S78" s="26">
        <f>Model!J25</f>
        <v>37.75667170191339</v>
      </c>
      <c r="T78" s="26"/>
      <c r="U78" s="26"/>
      <c r="V78" s="36"/>
      <c r="W78" s="36"/>
      <c r="X78" s="24"/>
    </row>
    <row r="79" spans="2:24" hidden="1" x14ac:dyDescent="0.35">
      <c r="B79" s="2">
        <v>2004</v>
      </c>
      <c r="C79" s="3">
        <f>Model!B26</f>
        <v>177</v>
      </c>
      <c r="D79" s="3"/>
      <c r="E79" s="3">
        <f>Model!D26</f>
        <v>7873</v>
      </c>
      <c r="F79" s="24"/>
      <c r="G79" s="3">
        <f>Model!E26</f>
        <v>44.480225988700568</v>
      </c>
      <c r="H79" s="24"/>
      <c r="I79" s="3">
        <f>Model!F26</f>
        <v>296419</v>
      </c>
      <c r="J79" s="3"/>
      <c r="K79" s="3">
        <f>Model!G26</f>
        <v>12209</v>
      </c>
      <c r="L79" s="3"/>
      <c r="M79" s="26"/>
      <c r="N79" s="26">
        <f>Model!H26</f>
        <v>68.977401129943502</v>
      </c>
      <c r="O79" s="24"/>
      <c r="P79" s="72">
        <f>Model!I26</f>
        <v>1.550743045852915</v>
      </c>
      <c r="Q79" s="72"/>
      <c r="R79" s="72"/>
      <c r="S79" s="26">
        <f>Model!J26</f>
        <v>37.650069859011815</v>
      </c>
      <c r="T79" s="26"/>
      <c r="U79" s="26"/>
      <c r="V79" s="36"/>
      <c r="W79" s="36"/>
      <c r="X79" s="24"/>
    </row>
    <row r="80" spans="2:24" hidden="1" x14ac:dyDescent="0.35">
      <c r="B80" s="2">
        <v>2005</v>
      </c>
      <c r="C80" s="3">
        <f>Model!B27</f>
        <v>173</v>
      </c>
      <c r="D80" s="3"/>
      <c r="E80" s="3">
        <f>Model!D27</f>
        <v>8036</v>
      </c>
      <c r="F80" s="24"/>
      <c r="G80" s="3">
        <f>Model!E27</f>
        <v>46.450867052023121</v>
      </c>
      <c r="H80" s="24"/>
      <c r="I80" s="3">
        <f>Model!F27</f>
        <v>282793</v>
      </c>
      <c r="J80" s="3"/>
      <c r="K80" s="3">
        <f>Model!G27</f>
        <v>12022</v>
      </c>
      <c r="L80" s="3"/>
      <c r="M80" s="26"/>
      <c r="N80" s="26">
        <f>Model!H27</f>
        <v>69.49132947976878</v>
      </c>
      <c r="O80" s="24"/>
      <c r="P80" s="72">
        <f>Model!I27</f>
        <v>1.4960179193628669</v>
      </c>
      <c r="Q80" s="72"/>
      <c r="R80" s="72"/>
      <c r="S80" s="26">
        <f>Model!J27</f>
        <v>35.190766550522646</v>
      </c>
      <c r="T80" s="26"/>
      <c r="U80" s="26"/>
      <c r="V80" s="36"/>
      <c r="W80" s="36"/>
      <c r="X80" s="24"/>
    </row>
    <row r="81" spans="2:24" hidden="1" x14ac:dyDescent="0.35">
      <c r="B81" s="2">
        <v>2006</v>
      </c>
      <c r="C81" s="3">
        <f>Model!B28</f>
        <v>172</v>
      </c>
      <c r="D81" s="3"/>
      <c r="E81" s="3">
        <f>Model!D28</f>
        <v>8235</v>
      </c>
      <c r="F81" s="24"/>
      <c r="G81" s="3">
        <f>Model!E28</f>
        <v>47.877906976744185</v>
      </c>
      <c r="H81" s="24"/>
      <c r="I81" s="3">
        <f>Model!F28</f>
        <v>277291</v>
      </c>
      <c r="J81" s="3"/>
      <c r="K81" s="3">
        <f>Model!G28</f>
        <v>12268</v>
      </c>
      <c r="L81" s="3"/>
      <c r="M81" s="26"/>
      <c r="N81" s="26">
        <f>Model!H28</f>
        <v>71.325581395348834</v>
      </c>
      <c r="O81" s="24"/>
      <c r="P81" s="72">
        <f>Model!I28</f>
        <v>1.489738919247116</v>
      </c>
      <c r="Q81" s="72"/>
      <c r="R81" s="72"/>
      <c r="S81" s="26">
        <f>Model!J28</f>
        <v>33.672252580449303</v>
      </c>
      <c r="T81" s="26"/>
      <c r="U81" s="26"/>
      <c r="V81" s="36"/>
      <c r="W81" s="36"/>
      <c r="X81" s="24"/>
    </row>
    <row r="82" spans="2:24" hidden="1" x14ac:dyDescent="0.35">
      <c r="B82" s="2">
        <v>2007</v>
      </c>
      <c r="C82" s="3">
        <f>Model!B29</f>
        <v>170</v>
      </c>
      <c r="D82" s="3"/>
      <c r="E82" s="3">
        <f>Model!D29</f>
        <v>8247</v>
      </c>
      <c r="F82" s="24"/>
      <c r="G82" s="3">
        <f>Model!E29</f>
        <v>48.511764705882356</v>
      </c>
      <c r="H82" s="24"/>
      <c r="I82" s="3">
        <f>Model!F29</f>
        <v>277772</v>
      </c>
      <c r="J82" s="3"/>
      <c r="K82" s="3">
        <f>Model!G29</f>
        <v>12472</v>
      </c>
      <c r="L82" s="3"/>
      <c r="M82" s="26"/>
      <c r="N82" s="26">
        <f>Model!H29</f>
        <v>73.364705882352936</v>
      </c>
      <c r="O82" s="24"/>
      <c r="P82" s="72">
        <f>Model!I29</f>
        <v>1.51230750575967</v>
      </c>
      <c r="Q82" s="72"/>
      <c r="R82" s="72"/>
      <c r="S82" s="26">
        <f>Model!J29</f>
        <v>33.681581181035526</v>
      </c>
      <c r="T82" s="26"/>
      <c r="U82" s="26"/>
      <c r="V82" s="36"/>
      <c r="W82" s="36"/>
      <c r="X82" s="24"/>
    </row>
    <row r="83" spans="2:24" hidden="1" x14ac:dyDescent="0.35">
      <c r="B83" s="2">
        <v>2008</v>
      </c>
      <c r="C83" s="3">
        <f>Model!B30</f>
        <v>174</v>
      </c>
      <c r="D83" s="3"/>
      <c r="E83" s="3">
        <f>Model!D30</f>
        <v>8097</v>
      </c>
      <c r="F83" s="24"/>
      <c r="G83" s="3">
        <f>Model!E30</f>
        <v>46.53448275862069</v>
      </c>
      <c r="H83" s="24"/>
      <c r="I83" s="3">
        <f>Model!F30</f>
        <v>272097</v>
      </c>
      <c r="J83" s="3"/>
      <c r="K83" s="3">
        <f>Model!G30</f>
        <v>12723</v>
      </c>
      <c r="L83" s="3"/>
      <c r="M83" s="26"/>
      <c r="N83" s="26">
        <f>Model!H30</f>
        <v>73.120689655172413</v>
      </c>
      <c r="O83" s="24"/>
      <c r="P83" s="72">
        <f>Model!I30</f>
        <v>1.5713227121155984</v>
      </c>
      <c r="Q83" s="72"/>
      <c r="R83" s="72"/>
      <c r="S83" s="26">
        <f>Model!J30</f>
        <v>33.604668395702113</v>
      </c>
      <c r="T83" s="26"/>
      <c r="U83" s="26"/>
      <c r="V83" s="36"/>
      <c r="W83" s="36"/>
      <c r="X83" s="24"/>
    </row>
    <row r="84" spans="2:24" hidden="1" x14ac:dyDescent="0.35">
      <c r="B84" s="2">
        <v>2009</v>
      </c>
      <c r="C84" s="3">
        <f>Model!B31</f>
        <v>172</v>
      </c>
      <c r="D84" s="3"/>
      <c r="E84" s="3">
        <f>Model!D31</f>
        <v>7906</v>
      </c>
      <c r="F84" s="24"/>
      <c r="G84" s="3">
        <f>Model!E31</f>
        <v>45.965116279069768</v>
      </c>
      <c r="H84" s="24"/>
      <c r="I84" s="3">
        <f>Model!F31</f>
        <v>265104</v>
      </c>
      <c r="J84" s="3"/>
      <c r="K84" s="3">
        <f>Model!G31</f>
        <v>13493</v>
      </c>
      <c r="L84" s="3"/>
      <c r="M84" s="26"/>
      <c r="N84" s="26">
        <f>Model!H31</f>
        <v>78.447674418604649</v>
      </c>
      <c r="O84" s="24"/>
      <c r="P84" s="72">
        <f>Model!I31</f>
        <v>1.7066784720465469</v>
      </c>
      <c r="Q84" s="72"/>
      <c r="R84" s="72"/>
      <c r="S84" s="26">
        <f>Model!J31</f>
        <v>33.532001011889705</v>
      </c>
      <c r="T84" s="26"/>
      <c r="U84" s="26"/>
      <c r="V84" s="36"/>
      <c r="W84" s="36"/>
      <c r="X84" s="24"/>
    </row>
    <row r="85" spans="2:24" hidden="1" x14ac:dyDescent="0.35">
      <c r="B85" s="2">
        <v>2010</v>
      </c>
      <c r="C85" s="3">
        <f>Model!B32</f>
        <v>173</v>
      </c>
      <c r="D85" s="3"/>
      <c r="E85" s="3">
        <f>Model!D32</f>
        <v>7692</v>
      </c>
      <c r="F85" s="24"/>
      <c r="G85" s="3">
        <f>Model!E32</f>
        <v>44.462427745664741</v>
      </c>
      <c r="H85" s="24"/>
      <c r="I85" s="3">
        <f>Model!F32</f>
        <v>256801</v>
      </c>
      <c r="J85" s="3"/>
      <c r="K85" s="3">
        <f>Model!G32</f>
        <v>13318</v>
      </c>
      <c r="L85" s="3"/>
      <c r="M85" s="26"/>
      <c r="N85" s="26">
        <f>Model!H32</f>
        <v>76.982658959537574</v>
      </c>
      <c r="O85" s="24"/>
      <c r="P85" s="72">
        <f>Model!I32</f>
        <v>1.7314092563702548</v>
      </c>
      <c r="Q85" s="72"/>
      <c r="R85" s="72"/>
      <c r="S85" s="26">
        <f>Model!J32</f>
        <v>33.385465418616747</v>
      </c>
      <c r="T85" s="26"/>
      <c r="U85" s="26"/>
      <c r="V85" s="36"/>
      <c r="W85" s="36"/>
      <c r="X85" s="24"/>
    </row>
    <row r="86" spans="2:24" hidden="1" x14ac:dyDescent="0.35">
      <c r="B86" s="2">
        <v>2011</v>
      </c>
      <c r="C86" s="3">
        <f>Model!B33</f>
        <v>174</v>
      </c>
      <c r="D86" s="3"/>
      <c r="E86" s="3">
        <f>Model!D33</f>
        <v>7522</v>
      </c>
      <c r="F86" s="24"/>
      <c r="G86" s="3">
        <f>Model!E33</f>
        <v>43.229885057471265</v>
      </c>
      <c r="H86" s="24"/>
      <c r="I86" s="69">
        <f>Model!F33/10000</f>
        <v>25.116499999999998</v>
      </c>
      <c r="J86" s="3"/>
      <c r="K86" s="69">
        <f>Model!G33/1000</f>
        <v>13.586</v>
      </c>
      <c r="L86" s="69"/>
      <c r="M86" s="74"/>
      <c r="N86" s="26">
        <f>Model!H33</f>
        <v>78.080459770114942</v>
      </c>
      <c r="O86" s="24"/>
      <c r="P86" s="72">
        <f>Model!I33</f>
        <v>1.8061685721882479</v>
      </c>
      <c r="Q86" s="72"/>
      <c r="R86" s="72"/>
      <c r="S86" s="26">
        <f>Model!J33</f>
        <v>33.390720553044403</v>
      </c>
      <c r="T86" s="26"/>
      <c r="U86" s="26"/>
      <c r="V86" s="36"/>
      <c r="W86" s="36"/>
      <c r="X86" s="24"/>
    </row>
    <row r="87" spans="2:24" hidden="1" x14ac:dyDescent="0.35">
      <c r="B87" s="2">
        <v>2012</v>
      </c>
      <c r="C87" s="3">
        <f>Model!B34</f>
        <v>175</v>
      </c>
      <c r="D87" s="3"/>
      <c r="E87" s="3">
        <f>Model!D34</f>
        <v>7377</v>
      </c>
      <c r="F87" s="24"/>
      <c r="G87" s="3">
        <f>Model!E34</f>
        <v>42.154285714285713</v>
      </c>
      <c r="H87" s="24"/>
      <c r="I87" s="69">
        <f>Model!F34/10000</f>
        <v>24.556000000000001</v>
      </c>
      <c r="J87" s="3"/>
      <c r="K87" s="69">
        <f>Model!G34/1000</f>
        <v>13.978999999999999</v>
      </c>
      <c r="L87" s="69"/>
      <c r="M87" s="74"/>
      <c r="N87" s="26">
        <f>Model!H34</f>
        <v>79.88</v>
      </c>
      <c r="O87" s="24"/>
      <c r="P87" s="72">
        <f>Model!I34</f>
        <v>1.8949437440694048</v>
      </c>
      <c r="Q87" s="72"/>
      <c r="R87" s="72"/>
      <c r="S87" s="26">
        <f>Model!J34</f>
        <v>33.287244137183137</v>
      </c>
      <c r="T87" s="26"/>
      <c r="U87" s="26"/>
      <c r="V87" s="36"/>
      <c r="W87" s="36"/>
      <c r="X87" s="24"/>
    </row>
    <row r="88" spans="2:24" hidden="1" x14ac:dyDescent="0.35">
      <c r="B88" s="2">
        <v>2013</v>
      </c>
      <c r="C88" s="3">
        <f>Model!B35</f>
        <v>182</v>
      </c>
      <c r="D88" s="3"/>
      <c r="E88" s="3">
        <f>Model!D35</f>
        <v>7242</v>
      </c>
      <c r="F88" s="24"/>
      <c r="G88" s="3">
        <f>Model!E35</f>
        <v>39.791208791208788</v>
      </c>
      <c r="H88" s="24"/>
      <c r="I88" s="69">
        <f>Model!F35/10000</f>
        <v>23.686199999999999</v>
      </c>
      <c r="J88" s="3"/>
      <c r="K88" s="69">
        <f>Model!G35/1000</f>
        <v>14.442</v>
      </c>
      <c r="L88" s="69"/>
      <c r="M88" s="74"/>
      <c r="N88" s="26">
        <f>Model!H35</f>
        <v>79.35164835164835</v>
      </c>
      <c r="O88" s="24"/>
      <c r="P88" s="72">
        <f>Model!I35</f>
        <v>1.9942004971002487</v>
      </c>
      <c r="Q88" s="72"/>
      <c r="R88" s="72"/>
      <c r="S88" s="26">
        <f>Model!J35</f>
        <v>32.706710853355425</v>
      </c>
      <c r="T88" s="26"/>
      <c r="U88" s="26"/>
      <c r="V88" s="36"/>
      <c r="W88" s="36"/>
      <c r="X88" s="24"/>
    </row>
    <row r="89" spans="2:24" hidden="1" x14ac:dyDescent="0.35">
      <c r="B89" s="2">
        <v>2014</v>
      </c>
      <c r="C89" s="3">
        <f>Model!B36</f>
        <v>185</v>
      </c>
      <c r="D89" s="3"/>
      <c r="E89" s="3">
        <f>Model!D36</f>
        <v>7196</v>
      </c>
      <c r="F89" s="24"/>
      <c r="G89" s="3">
        <f>Model!E36</f>
        <v>38.8972972972973</v>
      </c>
      <c r="H89" s="24"/>
      <c r="I89" s="69">
        <f>Model!F36/10000</f>
        <v>23.4499</v>
      </c>
      <c r="J89" s="3"/>
      <c r="K89" s="69">
        <f>Model!G36/1000</f>
        <v>14.343</v>
      </c>
      <c r="L89" s="69"/>
      <c r="M89" s="74"/>
      <c r="N89" s="26">
        <f>Model!H36</f>
        <v>77.529729729729723</v>
      </c>
      <c r="O89" s="24"/>
      <c r="P89" s="72">
        <f>Model!I36</f>
        <v>1.993190661478599</v>
      </c>
      <c r="Q89" s="72"/>
      <c r="R89" s="72"/>
      <c r="S89" s="26">
        <f>Model!J36</f>
        <v>32.587409672040025</v>
      </c>
      <c r="T89" s="26"/>
      <c r="U89" s="26"/>
      <c r="V89" s="36"/>
      <c r="W89" s="36"/>
      <c r="X89" s="24"/>
    </row>
    <row r="90" spans="2:24" hidden="1" x14ac:dyDescent="0.35">
      <c r="B90" s="2">
        <v>2015</v>
      </c>
      <c r="C90" s="3">
        <f>Model!B37</f>
        <v>182</v>
      </c>
      <c r="D90" s="3"/>
      <c r="E90" s="3">
        <f>Model!D37</f>
        <v>7141</v>
      </c>
      <c r="F90" s="24"/>
      <c r="G90" s="3">
        <f>Model!E37</f>
        <v>39.236263736263737</v>
      </c>
      <c r="H90" s="24"/>
      <c r="I90" s="69">
        <f>Model!F37/10000</f>
        <v>23.193300000000001</v>
      </c>
      <c r="J90" s="3"/>
      <c r="K90" s="69">
        <f>Model!G37/1000</f>
        <v>14.566000000000001</v>
      </c>
      <c r="L90" s="69"/>
      <c r="M90" s="74"/>
      <c r="N90" s="26">
        <f>Model!H37</f>
        <v>80.032967032967036</v>
      </c>
      <c r="O90" s="24"/>
      <c r="P90" s="72">
        <f>Model!I37</f>
        <v>2.039770340288475</v>
      </c>
      <c r="Q90" s="72"/>
      <c r="R90" s="72"/>
      <c r="S90" s="26">
        <f>Model!J37</f>
        <v>32.479064556784763</v>
      </c>
      <c r="T90" s="26"/>
      <c r="U90" s="26"/>
      <c r="V90" s="36"/>
      <c r="W90" s="36"/>
      <c r="X90" s="24"/>
    </row>
    <row r="91" spans="2:24" hidden="1" x14ac:dyDescent="0.35">
      <c r="B91" s="2">
        <v>2016</v>
      </c>
      <c r="C91" s="3">
        <f>Model!B38</f>
        <v>185</v>
      </c>
      <c r="D91" s="3"/>
      <c r="E91" s="3">
        <f>Model!D38</f>
        <v>7143</v>
      </c>
      <c r="F91" s="24"/>
      <c r="G91" s="3">
        <f>Model!E38</f>
        <v>38.610810810810811</v>
      </c>
      <c r="H91" s="24"/>
      <c r="I91" s="69">
        <f>Model!F38/10000</f>
        <v>23.0989</v>
      </c>
      <c r="J91" s="3"/>
      <c r="K91" s="69">
        <f>Model!G38/1000</f>
        <v>14.997</v>
      </c>
      <c r="L91" s="69"/>
      <c r="M91" s="74"/>
      <c r="N91" s="26">
        <f>Model!H38</f>
        <v>81.064864864864859</v>
      </c>
      <c r="O91" s="24"/>
      <c r="P91" s="72">
        <f>Model!I38</f>
        <v>2.099538009239815</v>
      </c>
      <c r="Q91" s="72"/>
      <c r="R91" s="72"/>
      <c r="S91" s="26">
        <f>Model!J38</f>
        <v>32.337813243735127</v>
      </c>
      <c r="T91" s="26"/>
      <c r="U91" s="26"/>
      <c r="V91" s="36"/>
      <c r="W91" s="36"/>
      <c r="X91" s="24"/>
    </row>
    <row r="92" spans="2:24" hidden="1" x14ac:dyDescent="0.35">
      <c r="B92" s="2">
        <v>2017</v>
      </c>
      <c r="C92" s="3">
        <f>Model!B39</f>
        <v>185</v>
      </c>
      <c r="D92" s="3"/>
      <c r="E92" s="3">
        <f>Model!D39</f>
        <v>7105</v>
      </c>
      <c r="F92" s="24"/>
      <c r="G92" s="3">
        <f>Model!E39</f>
        <v>38.405405405405403</v>
      </c>
      <c r="H92" s="24"/>
      <c r="I92" s="69">
        <f>Model!F39/10000</f>
        <v>22.867000000000001</v>
      </c>
      <c r="J92" s="3"/>
      <c r="K92" s="69">
        <f>Model!G39/1000</f>
        <v>15.183</v>
      </c>
      <c r="L92" s="69"/>
      <c r="M92" s="74"/>
      <c r="N92" s="26">
        <f>Model!H39</f>
        <v>82.070270270270271</v>
      </c>
      <c r="O92" s="24"/>
      <c r="P92" s="72">
        <f>Model!I39</f>
        <v>2.1369458128078818</v>
      </c>
      <c r="Q92" s="72"/>
      <c r="R92" s="72"/>
      <c r="S92" s="26">
        <f>Model!J39</f>
        <v>32.184377199155527</v>
      </c>
      <c r="T92" s="26"/>
      <c r="U92" s="26"/>
      <c r="V92" s="36"/>
      <c r="W92" s="36"/>
      <c r="X92" s="24"/>
    </row>
    <row r="93" spans="2:24" hidden="1" x14ac:dyDescent="0.35">
      <c r="B93" s="2">
        <v>2018</v>
      </c>
      <c r="C93" s="3">
        <f>Model!B40</f>
        <v>186</v>
      </c>
      <c r="D93" s="3"/>
      <c r="E93" s="3">
        <f>Model!D40</f>
        <v>7089</v>
      </c>
      <c r="F93" s="24"/>
      <c r="G93" s="3">
        <f>Model!E40</f>
        <v>38.112903225806448</v>
      </c>
      <c r="H93" s="24"/>
      <c r="I93" s="69">
        <f>Model!F40/10000</f>
        <v>22.740600000000001</v>
      </c>
      <c r="J93" s="3"/>
      <c r="K93" s="69">
        <f>Model!G40/1000</f>
        <v>15.364000000000001</v>
      </c>
      <c r="L93" s="69"/>
      <c r="M93" s="74"/>
      <c r="N93" s="26">
        <f>Model!H40</f>
        <v>82.602150537634415</v>
      </c>
      <c r="O93" s="24"/>
      <c r="P93" s="72">
        <f>Model!I40</f>
        <v>2.1673014529552832</v>
      </c>
      <c r="Q93" s="72"/>
      <c r="R93" s="72"/>
      <c r="S93" s="26">
        <f>Model!J40</f>
        <v>32.078713499788407</v>
      </c>
      <c r="T93" s="26"/>
      <c r="U93" s="26"/>
      <c r="V93" s="36"/>
      <c r="W93" s="36"/>
      <c r="X93" s="24"/>
    </row>
    <row r="94" spans="2:24" hidden="1" x14ac:dyDescent="0.35">
      <c r="B94" s="2">
        <v>2019</v>
      </c>
      <c r="C94" s="3">
        <f>Model!B41</f>
        <v>179</v>
      </c>
      <c r="D94" s="3"/>
      <c r="E94" s="3">
        <f>Model!D41</f>
        <v>7123</v>
      </c>
      <c r="F94" s="24"/>
      <c r="G94" s="3">
        <f>Model!E41</f>
        <v>39.793296089385478</v>
      </c>
      <c r="H94" s="24"/>
      <c r="I94" s="69">
        <f>Model!F41/10000</f>
        <v>22.806000000000001</v>
      </c>
      <c r="J94" s="3"/>
      <c r="K94" s="69">
        <f>Model!G41/1000</f>
        <v>15.436</v>
      </c>
      <c r="L94" s="69"/>
      <c r="M94" s="74"/>
      <c r="N94" s="26">
        <f>Model!H41</f>
        <v>86.234636871508386</v>
      </c>
      <c r="O94" s="24"/>
      <c r="P94" s="72">
        <f>Model!I41</f>
        <v>2.1670644391408116</v>
      </c>
      <c r="Q94" s="72"/>
      <c r="R94" s="72"/>
      <c r="S94" s="26">
        <f>Model!J41</f>
        <v>32.017408395339039</v>
      </c>
      <c r="T94" s="26"/>
      <c r="U94" s="26"/>
      <c r="V94" s="36"/>
      <c r="W94" s="36"/>
      <c r="X94" s="24"/>
    </row>
    <row r="95" spans="2:24" hidden="1" x14ac:dyDescent="0.35">
      <c r="B95" s="2">
        <v>2020</v>
      </c>
      <c r="C95" s="3">
        <f>Model!B42</f>
        <v>180</v>
      </c>
      <c r="D95" s="3"/>
      <c r="E95" s="3">
        <f>Model!D42</f>
        <v>7064</v>
      </c>
      <c r="F95" s="24"/>
      <c r="G95" s="3">
        <f>Model!E42</f>
        <v>39.244444444444447</v>
      </c>
      <c r="H95" s="24"/>
      <c r="I95" s="69">
        <f>Model!F42/10000</f>
        <v>22.566099999999999</v>
      </c>
      <c r="J95" s="3"/>
      <c r="K95" s="69">
        <f>Model!G42/1000</f>
        <v>15.682</v>
      </c>
      <c r="L95" s="69"/>
      <c r="M95" s="74"/>
      <c r="N95" s="26">
        <f>Model!H42</f>
        <v>87.12222222222222</v>
      </c>
      <c r="O95" s="24"/>
      <c r="P95" s="72">
        <f>Model!I42</f>
        <v>2.2199886749716873</v>
      </c>
      <c r="Q95" s="72"/>
      <c r="R95" s="72"/>
      <c r="S95" s="26">
        <f>Model!J42</f>
        <v>31.945215175537939</v>
      </c>
      <c r="T95" s="26"/>
      <c r="U95" s="26"/>
      <c r="V95" s="36"/>
      <c r="W95" s="36"/>
      <c r="X95" s="83"/>
    </row>
    <row r="96" spans="2:24" x14ac:dyDescent="0.35">
      <c r="B96" s="2">
        <v>2021</v>
      </c>
      <c r="C96" s="24"/>
      <c r="D96" s="27">
        <f>Model!N7</f>
        <v>180.74944582182781</v>
      </c>
      <c r="E96" s="24"/>
      <c r="F96" s="3">
        <f>Model!O7</f>
        <v>7013.433732908994</v>
      </c>
      <c r="G96" s="24"/>
      <c r="H96" s="3">
        <f>Model!P7</f>
        <v>38.801965345013699</v>
      </c>
      <c r="I96" s="24"/>
      <c r="J96" s="69">
        <f>Model!Q7/10000</f>
        <v>22.325759762512398</v>
      </c>
      <c r="K96" s="70"/>
      <c r="L96" s="69">
        <f>Model!R7/1000</f>
        <v>15.908617260943725</v>
      </c>
      <c r="M96" s="78">
        <f t="shared" ref="M96:M105" si="22">J20/1000</f>
        <v>16.046639829305789</v>
      </c>
      <c r="N96" s="24"/>
      <c r="O96" s="26">
        <f>Model!S7</f>
        <v>88.014749857797668</v>
      </c>
      <c r="P96" s="73"/>
      <c r="Q96" s="72">
        <f>Model!T7</f>
        <v>2.2683064910553075</v>
      </c>
      <c r="R96" s="75">
        <f t="shared" ref="R96:R105" si="23">C20</f>
        <v>2.3000000000000003</v>
      </c>
      <c r="S96" s="73"/>
      <c r="T96" s="26">
        <f>Model!U7</f>
        <v>31.832851942057548</v>
      </c>
      <c r="U96" s="76">
        <f t="shared" ref="U96:U105" si="24">D20</f>
        <v>32</v>
      </c>
      <c r="V96" s="77">
        <f t="shared" ref="V96:W105" si="25">E20/100</f>
        <v>0</v>
      </c>
      <c r="W96" s="77">
        <f t="shared" si="25"/>
        <v>0</v>
      </c>
      <c r="X96" s="84">
        <f t="shared" ref="X96:X105" si="26">L20/100</f>
        <v>2.325212532239429E-2</v>
      </c>
    </row>
    <row r="97" spans="1:24" x14ac:dyDescent="0.35">
      <c r="B97" s="2">
        <v>2022</v>
      </c>
      <c r="C97" s="24"/>
      <c r="D97" s="27">
        <f>Model!N8</f>
        <v>181.50201202721036</v>
      </c>
      <c r="E97" s="24"/>
      <c r="F97" s="3">
        <f>Model!O8</f>
        <v>6972.400954736675</v>
      </c>
      <c r="G97" s="24"/>
      <c r="H97" s="3">
        <f>Model!P8</f>
        <v>38.415006406052342</v>
      </c>
      <c r="I97" s="24"/>
      <c r="J97" s="69">
        <f>Model!Q8/10000</f>
        <v>22.087979268611662</v>
      </c>
      <c r="K97" s="70"/>
      <c r="L97" s="69">
        <f>Model!R8/1000</f>
        <v>16.138509319933469</v>
      </c>
      <c r="M97" s="78">
        <f t="shared" si="22"/>
        <v>16.3878555863893</v>
      </c>
      <c r="N97" s="24"/>
      <c r="O97" s="26">
        <f>Model!S8</f>
        <v>88.916421034021482</v>
      </c>
      <c r="P97" s="73"/>
      <c r="Q97" s="72">
        <f>Model!T8</f>
        <v>2.3146272603513758</v>
      </c>
      <c r="R97" s="75">
        <f t="shared" si="23"/>
        <v>2.3000000000000003</v>
      </c>
      <c r="S97" s="73"/>
      <c r="T97" s="26">
        <f>Model!U8</f>
        <v>31.679158172345602</v>
      </c>
      <c r="U97" s="76">
        <f t="shared" si="24"/>
        <v>31</v>
      </c>
      <c r="V97" s="77">
        <f t="shared" si="25"/>
        <v>0.1</v>
      </c>
      <c r="W97" s="77">
        <f t="shared" si="25"/>
        <v>0.05</v>
      </c>
      <c r="X97" s="84">
        <f t="shared" si="26"/>
        <v>7.2327200507321887E-2</v>
      </c>
    </row>
    <row r="98" spans="1:24" x14ac:dyDescent="0.35">
      <c r="B98" s="2">
        <v>2023</v>
      </c>
      <c r="C98" s="24"/>
      <c r="D98" s="27">
        <f>Model!N9</f>
        <v>182.25771160813886</v>
      </c>
      <c r="E98" s="24"/>
      <c r="F98" s="3">
        <f>Model!O9</f>
        <v>6931.8051961490728</v>
      </c>
      <c r="G98" s="24"/>
      <c r="H98" s="3">
        <f>Model!P9</f>
        <v>38.032987109224344</v>
      </c>
      <c r="I98" s="24"/>
      <c r="J98" s="69">
        <f>Model!Q9/10000</f>
        <v>21.852731255749919</v>
      </c>
      <c r="K98" s="70"/>
      <c r="L98" s="69">
        <f>Model!R9/1000</f>
        <v>16.37172350038227</v>
      </c>
      <c r="M98" s="78">
        <f t="shared" si="22"/>
        <v>16.91824355283865</v>
      </c>
      <c r="N98" s="24"/>
      <c r="O98" s="26">
        <f>Model!S9</f>
        <v>89.827329422318812</v>
      </c>
      <c r="P98" s="73"/>
      <c r="Q98" s="72">
        <f>Model!T9</f>
        <v>2.361826831122936</v>
      </c>
      <c r="R98" s="75">
        <f t="shared" si="23"/>
        <v>2.4000000000000004</v>
      </c>
      <c r="S98" s="73"/>
      <c r="T98" s="26">
        <f>Model!U9</f>
        <v>31.525310705341354</v>
      </c>
      <c r="U98" s="76">
        <f t="shared" si="24"/>
        <v>31</v>
      </c>
      <c r="V98" s="77">
        <f t="shared" si="25"/>
        <v>0.1</v>
      </c>
      <c r="W98" s="77">
        <f t="shared" si="25"/>
        <v>0.05</v>
      </c>
      <c r="X98" s="84">
        <f t="shared" si="26"/>
        <v>8.3982930947618772E-2</v>
      </c>
    </row>
    <row r="99" spans="1:24" x14ac:dyDescent="0.35">
      <c r="B99" s="2">
        <v>2024</v>
      </c>
      <c r="C99" s="24"/>
      <c r="D99" s="27">
        <f>Model!N10</f>
        <v>183.01655761069784</v>
      </c>
      <c r="E99" s="24"/>
      <c r="F99" s="3">
        <f>Model!O10</f>
        <v>6891.6418026693082</v>
      </c>
      <c r="G99" s="24"/>
      <c r="H99" s="3">
        <f>Model!P10</f>
        <v>37.655837770311507</v>
      </c>
      <c r="I99" s="24"/>
      <c r="J99" s="69">
        <f>Model!Q10/10000</f>
        <v>21.619988751739047</v>
      </c>
      <c r="K99" s="70"/>
      <c r="L99" s="69">
        <f>Model!R10/1000</f>
        <v>16.608307809563794</v>
      </c>
      <c r="M99" s="78">
        <f t="shared" si="22"/>
        <v>17.29599100139124</v>
      </c>
      <c r="N99" s="24"/>
      <c r="O99" s="26">
        <f>Model!S10</f>
        <v>90.747569653736022</v>
      </c>
      <c r="P99" s="73"/>
      <c r="Q99" s="72">
        <f>Model!T10</f>
        <v>2.4099203477364384</v>
      </c>
      <c r="R99" s="75">
        <f t="shared" si="23"/>
        <v>2.4000000000000004</v>
      </c>
      <c r="S99" s="73"/>
      <c r="T99" s="26">
        <f>Model!U10</f>
        <v>31.371318142746588</v>
      </c>
      <c r="U99" s="76">
        <f t="shared" si="24"/>
        <v>30</v>
      </c>
      <c r="V99" s="77">
        <f t="shared" si="25"/>
        <v>0.1</v>
      </c>
      <c r="W99" s="77">
        <f t="shared" si="25"/>
        <v>0.05</v>
      </c>
      <c r="X99" s="84">
        <f t="shared" si="26"/>
        <v>7.3444208007850342E-2</v>
      </c>
    </row>
    <row r="100" spans="1:24" x14ac:dyDescent="0.35">
      <c r="B100" s="2">
        <v>2025</v>
      </c>
      <c r="C100" s="24"/>
      <c r="D100" s="27">
        <f>Model!N11</f>
        <v>183.77856313529031</v>
      </c>
      <c r="E100" s="24"/>
      <c r="F100" s="3">
        <f>Model!O11</f>
        <v>6851.9061693929998</v>
      </c>
      <c r="G100" s="24"/>
      <c r="H100" s="3">
        <f>Model!P11</f>
        <v>37.283489719902235</v>
      </c>
      <c r="I100" s="24"/>
      <c r="J100" s="69">
        <f>Model!Q11/10000</f>
        <v>21.389725071658209</v>
      </c>
      <c r="K100" s="70"/>
      <c r="L100" s="69">
        <f>Model!R11/1000</f>
        <v>16.848310948494646</v>
      </c>
      <c r="M100" s="78">
        <f t="shared" si="22"/>
        <v>17.824770893048509</v>
      </c>
      <c r="N100" s="24"/>
      <c r="O100" s="26">
        <f>Model!S11</f>
        <v>91.677237328771611</v>
      </c>
      <c r="P100" s="73"/>
      <c r="Q100" s="72">
        <f>Model!T11</f>
        <v>2.4589231860405372</v>
      </c>
      <c r="R100" s="75">
        <f t="shared" si="23"/>
        <v>2.5000000000000004</v>
      </c>
      <c r="S100" s="73"/>
      <c r="T100" s="26">
        <f>Model!U11</f>
        <v>31.217189119145647</v>
      </c>
      <c r="U100" s="76">
        <f t="shared" si="24"/>
        <v>30</v>
      </c>
      <c r="V100" s="77">
        <f t="shared" si="25"/>
        <v>0.1</v>
      </c>
      <c r="W100" s="77">
        <f t="shared" si="25"/>
        <v>0.05</v>
      </c>
      <c r="X100" s="84">
        <f t="shared" si="26"/>
        <v>8.2101016136945967E-2</v>
      </c>
    </row>
    <row r="101" spans="1:24" x14ac:dyDescent="0.35">
      <c r="B101" s="2">
        <v>2026</v>
      </c>
      <c r="C101" s="24"/>
      <c r="D101" s="27">
        <f>Model!N12</f>
        <v>184.54374133686397</v>
      </c>
      <c r="E101" s="24"/>
      <c r="F101" s="3">
        <f>Model!O12</f>
        <v>6812.593740460301</v>
      </c>
      <c r="G101" s="24"/>
      <c r="H101" s="3">
        <f>Model!P12</f>
        <v>36.915875288475227</v>
      </c>
      <c r="I101" s="24"/>
      <c r="J101" s="69">
        <f>Model!Q12/10000</f>
        <v>21.161913814794289</v>
      </c>
      <c r="K101" s="70"/>
      <c r="L101" s="69">
        <f>Model!R12/1000</f>
        <v>17.091782321959517</v>
      </c>
      <c r="M101" s="78">
        <f t="shared" si="22"/>
        <v>18.340325306155055</v>
      </c>
      <c r="N101" s="24"/>
      <c r="O101" s="26">
        <f>Model!S12</f>
        <v>92.616429027307831</v>
      </c>
      <c r="P101" s="73"/>
      <c r="Q101" s="72">
        <f>Model!T12</f>
        <v>2.5088509564940957</v>
      </c>
      <c r="R101" s="75">
        <f t="shared" si="23"/>
        <v>2.6000000000000005</v>
      </c>
      <c r="S101" s="73"/>
      <c r="T101" s="26">
        <f>Model!U12</f>
        <v>31.062932300091123</v>
      </c>
      <c r="U101" s="76">
        <f t="shared" si="24"/>
        <v>30</v>
      </c>
      <c r="V101" s="77">
        <f t="shared" si="25"/>
        <v>0.1</v>
      </c>
      <c r="W101" s="77">
        <f t="shared" si="25"/>
        <v>0.05</v>
      </c>
      <c r="X101" s="84">
        <f t="shared" si="26"/>
        <v>8.0369654511127001E-2</v>
      </c>
    </row>
    <row r="102" spans="1:24" x14ac:dyDescent="0.35">
      <c r="B102" s="2">
        <v>2027</v>
      </c>
      <c r="C102" s="24"/>
      <c r="D102" s="27">
        <f>Model!N13</f>
        <v>185.31210542513833</v>
      </c>
      <c r="E102" s="24"/>
      <c r="F102" s="3">
        <f>Model!O13</f>
        <v>6773.7000085335503</v>
      </c>
      <c r="G102" s="24"/>
      <c r="H102" s="3">
        <f>Model!P13</f>
        <v>36.552927791703084</v>
      </c>
      <c r="I102" s="24"/>
      <c r="J102" s="69">
        <f>Model!Q13/10000</f>
        <v>20.936528861614967</v>
      </c>
      <c r="K102" s="70"/>
      <c r="L102" s="69">
        <f>Model!R13/1000</f>
        <v>17.338772048681165</v>
      </c>
      <c r="M102" s="78">
        <f t="shared" si="22"/>
        <v>18.842875975453477</v>
      </c>
      <c r="N102" s="24"/>
      <c r="O102" s="26">
        <f>Model!S13</f>
        <v>93.565242318643953</v>
      </c>
      <c r="P102" s="73"/>
      <c r="Q102" s="72">
        <f>Model!T13</f>
        <v>2.5597195073353802</v>
      </c>
      <c r="R102" s="75">
        <f t="shared" si="23"/>
        <v>2.7000000000000006</v>
      </c>
      <c r="S102" s="73"/>
      <c r="T102" s="26">
        <f>Model!U13</f>
        <v>30.90855638017479</v>
      </c>
      <c r="U102" s="76">
        <f t="shared" si="24"/>
        <v>30</v>
      </c>
      <c r="V102" s="77">
        <f t="shared" si="25"/>
        <v>0.1</v>
      </c>
      <c r="W102" s="77">
        <f t="shared" si="25"/>
        <v>0.05</v>
      </c>
      <c r="X102" s="84">
        <f t="shared" si="26"/>
        <v>7.8771474548832154E-2</v>
      </c>
    </row>
    <row r="103" spans="1:24" x14ac:dyDescent="0.35">
      <c r="B103" s="2">
        <v>2028</v>
      </c>
      <c r="C103" s="24"/>
      <c r="D103" s="27">
        <f>Model!N14</f>
        <v>186.08366866483269</v>
      </c>
      <c r="E103" s="24"/>
      <c r="F103" s="3">
        <f>Model!O14</f>
        <v>6735.2205142804805</v>
      </c>
      <c r="G103" s="24"/>
      <c r="H103" s="3">
        <f>Model!P14</f>
        <v>36.194581515972374</v>
      </c>
      <c r="I103" s="24"/>
      <c r="J103" s="69">
        <f>Model!Q14/10000</f>
        <v>20.713544370773992</v>
      </c>
      <c r="K103" s="70"/>
      <c r="L103" s="69">
        <f>Model!R14/1000</f>
        <v>17.589330971637402</v>
      </c>
      <c r="M103" s="78">
        <f t="shared" si="22"/>
        <v>19.285024069341304</v>
      </c>
      <c r="N103" s="24"/>
      <c r="O103" s="26">
        <f>Model!S14</f>
        <v>94.523775771632501</v>
      </c>
      <c r="P103" s="73"/>
      <c r="Q103" s="72">
        <f>Model!T14</f>
        <v>2.6115449277931266</v>
      </c>
      <c r="R103" s="75">
        <f t="shared" si="23"/>
        <v>2.7000000000000006</v>
      </c>
      <c r="S103" s="73"/>
      <c r="T103" s="26">
        <f>Model!U14</f>
        <v>30.754070081084503</v>
      </c>
      <c r="U103" s="76">
        <f t="shared" si="24"/>
        <v>29</v>
      </c>
      <c r="V103" s="77">
        <f t="shared" si="25"/>
        <v>0.1</v>
      </c>
      <c r="W103" s="77">
        <f t="shared" si="25"/>
        <v>0.05</v>
      </c>
      <c r="X103" s="84">
        <f t="shared" si="26"/>
        <v>7.4638250508415105E-2</v>
      </c>
    </row>
    <row r="104" spans="1:24" x14ac:dyDescent="0.35">
      <c r="B104" s="2">
        <v>2029</v>
      </c>
      <c r="C104" s="24"/>
      <c r="D104" s="27">
        <f>Model!N15</f>
        <v>186.85844437589517</v>
      </c>
      <c r="E104" s="24"/>
      <c r="F104" s="3">
        <f>Model!O15</f>
        <v>6697.1508458629414</v>
      </c>
      <c r="G104" s="24"/>
      <c r="H104" s="3">
        <f>Model!P15</f>
        <v>35.840771704117202</v>
      </c>
      <c r="I104" s="24"/>
      <c r="J104" s="69">
        <f>Model!Q15/10000</f>
        <v>20.492934776148342</v>
      </c>
      <c r="K104" s="70"/>
      <c r="L104" s="69">
        <f>Model!R15/1000</f>
        <v>17.843510668527156</v>
      </c>
      <c r="M104" s="78">
        <f t="shared" si="22"/>
        <v>20.492934776148349</v>
      </c>
      <c r="N104" s="24"/>
      <c r="O104" s="26">
        <f>Model!S15</f>
        <v>95.492128964919161</v>
      </c>
      <c r="P104" s="73"/>
      <c r="Q104" s="72">
        <f>Model!T15</f>
        <v>2.6643435513401492</v>
      </c>
      <c r="R104" s="75">
        <f t="shared" si="23"/>
        <v>2.8000000000000007</v>
      </c>
      <c r="S104" s="73"/>
      <c r="T104" s="26">
        <f>Model!U15</f>
        <v>30.59948214964805</v>
      </c>
      <c r="U104" s="76">
        <f t="shared" si="24"/>
        <v>28</v>
      </c>
      <c r="V104" s="77">
        <f t="shared" si="25"/>
        <v>0.1</v>
      </c>
      <c r="W104" s="77">
        <f t="shared" si="25"/>
        <v>0.05</v>
      </c>
      <c r="X104" s="84">
        <f t="shared" si="26"/>
        <v>0.11576638108342883</v>
      </c>
    </row>
    <row r="105" spans="1:24" x14ac:dyDescent="0.35">
      <c r="B105" s="2">
        <v>2030</v>
      </c>
      <c r="C105" s="24"/>
      <c r="D105" s="27">
        <f>Model!N16</f>
        <v>187.63644593373272</v>
      </c>
      <c r="E105" s="24"/>
      <c r="F105" s="3">
        <f>Model!O16</f>
        <v>6659.4866384310653</v>
      </c>
      <c r="G105" s="24"/>
      <c r="H105" s="3">
        <f>Model!P16</f>
        <v>35.491434541362963</v>
      </c>
      <c r="I105" s="24"/>
      <c r="J105" s="69">
        <f>Model!Q16/10000</f>
        <v>20.274674783906995</v>
      </c>
      <c r="K105" s="70"/>
      <c r="L105" s="69">
        <f>Model!R16/1000</f>
        <v>18.101363462387749</v>
      </c>
      <c r="M105" s="78">
        <f t="shared" si="22"/>
        <v>21.776502545677889</v>
      </c>
      <c r="N105" s="24"/>
      <c r="O105" s="26">
        <f>Model!S16</f>
        <v>96.470402497287651</v>
      </c>
      <c r="P105" s="73"/>
      <c r="Q105" s="72">
        <f>Model!T16</f>
        <v>2.7181319589902082</v>
      </c>
      <c r="R105" s="75">
        <f t="shared" si="23"/>
        <v>2.9000000000000008</v>
      </c>
      <c r="S105" s="73"/>
      <c r="T105" s="26">
        <f>Model!U16</f>
        <v>30.44480135586485</v>
      </c>
      <c r="U105" s="76">
        <f t="shared" si="24"/>
        <v>27</v>
      </c>
      <c r="V105" s="77">
        <f t="shared" si="25"/>
        <v>0.1</v>
      </c>
      <c r="W105" s="77">
        <f t="shared" si="25"/>
        <v>0.05</v>
      </c>
      <c r="X105" s="84">
        <f t="shared" si="26"/>
        <v>0.11576638108342863</v>
      </c>
    </row>
    <row r="107" spans="1:24" ht="29" x14ac:dyDescent="0.35">
      <c r="A107" t="s">
        <v>160</v>
      </c>
      <c r="B107" s="30" t="s">
        <v>53</v>
      </c>
      <c r="C107" s="31" t="s">
        <v>109</v>
      </c>
      <c r="D107" s="31" t="s">
        <v>142</v>
      </c>
      <c r="E107" s="31" t="s">
        <v>104</v>
      </c>
      <c r="F107" s="31" t="s">
        <v>143</v>
      </c>
      <c r="G107" s="31" t="s">
        <v>105</v>
      </c>
      <c r="H107" s="31" t="s">
        <v>144</v>
      </c>
      <c r="I107" s="67" t="s">
        <v>140</v>
      </c>
      <c r="J107" s="67" t="s">
        <v>141</v>
      </c>
      <c r="K107" s="67" t="s">
        <v>137</v>
      </c>
      <c r="L107" s="67" t="s">
        <v>138</v>
      </c>
      <c r="M107" s="79" t="s">
        <v>139</v>
      </c>
      <c r="N107" s="32" t="s">
        <v>111</v>
      </c>
      <c r="O107" s="67" t="s">
        <v>145</v>
      </c>
      <c r="P107" s="35" t="s">
        <v>132</v>
      </c>
      <c r="Q107" s="35" t="s">
        <v>133</v>
      </c>
      <c r="R107" s="68" t="s">
        <v>134</v>
      </c>
      <c r="S107" s="35" t="s">
        <v>113</v>
      </c>
      <c r="T107" s="35" t="s">
        <v>135</v>
      </c>
      <c r="U107" s="80" t="s">
        <v>136</v>
      </c>
      <c r="V107" s="81" t="s">
        <v>100</v>
      </c>
      <c r="W107" s="82" t="s">
        <v>119</v>
      </c>
      <c r="X107" s="71" t="s">
        <v>122</v>
      </c>
    </row>
    <row r="108" spans="1:24" hidden="1" x14ac:dyDescent="0.35">
      <c r="B108" s="2">
        <v>1985</v>
      </c>
      <c r="C108" s="3">
        <v>251</v>
      </c>
      <c r="D108" s="3"/>
      <c r="E108" s="3">
        <v>6945</v>
      </c>
      <c r="F108" s="24"/>
      <c r="G108" s="3">
        <v>27.669322709163346</v>
      </c>
      <c r="H108" s="24"/>
      <c r="I108" s="3">
        <v>277875</v>
      </c>
      <c r="J108" s="3"/>
      <c r="K108" s="3">
        <v>10351</v>
      </c>
      <c r="L108" s="3"/>
      <c r="M108" s="26"/>
      <c r="N108" s="26">
        <v>41.239043824701199</v>
      </c>
      <c r="O108" s="24"/>
      <c r="P108" s="72">
        <v>1.4904247660187186</v>
      </c>
      <c r="Q108" s="72"/>
      <c r="R108" s="72"/>
      <c r="S108" s="26">
        <v>40.010799136069117</v>
      </c>
      <c r="T108" s="26"/>
      <c r="U108" s="26"/>
      <c r="V108" s="36"/>
      <c r="W108" s="36"/>
      <c r="X108" s="24"/>
    </row>
    <row r="109" spans="1:24" hidden="1" x14ac:dyDescent="0.35">
      <c r="B109" s="2">
        <v>1986</v>
      </c>
      <c r="C109" s="3">
        <v>235</v>
      </c>
      <c r="D109" s="3"/>
      <c r="E109" s="3">
        <v>6762</v>
      </c>
      <c r="F109" s="24"/>
      <c r="G109" s="3">
        <v>28.774468085106381</v>
      </c>
      <c r="H109" s="24"/>
      <c r="I109" s="3">
        <v>268668</v>
      </c>
      <c r="J109" s="3"/>
      <c r="K109" s="3">
        <v>10256</v>
      </c>
      <c r="L109" s="3"/>
      <c r="M109" s="26"/>
      <c r="N109" s="26">
        <v>43.642553191489363</v>
      </c>
      <c r="O109" s="24"/>
      <c r="P109" s="72">
        <v>1.5167110322389827</v>
      </c>
      <c r="Q109" s="72"/>
      <c r="R109" s="72"/>
      <c r="S109" s="26">
        <v>39.732031943212064</v>
      </c>
      <c r="T109" s="26"/>
      <c r="U109" s="26"/>
      <c r="V109" s="73"/>
      <c r="W109" s="73"/>
      <c r="X109" s="24"/>
    </row>
    <row r="110" spans="1:24" hidden="1" x14ac:dyDescent="0.35">
      <c r="B110" s="2">
        <v>1987</v>
      </c>
      <c r="C110" s="3">
        <v>229</v>
      </c>
      <c r="D110" s="3"/>
      <c r="E110" s="3">
        <v>6704</v>
      </c>
      <c r="F110" s="24"/>
      <c r="G110" s="3">
        <v>29.275109170305676</v>
      </c>
      <c r="H110" s="24"/>
      <c r="I110" s="3">
        <v>261399</v>
      </c>
      <c r="J110" s="3"/>
      <c r="K110" s="3">
        <v>10190</v>
      </c>
      <c r="L110" s="3"/>
      <c r="M110" s="26"/>
      <c r="N110" s="26">
        <v>44.497816593886462</v>
      </c>
      <c r="O110" s="24"/>
      <c r="P110" s="72">
        <v>1.5199880668257757</v>
      </c>
      <c r="Q110" s="72"/>
      <c r="R110" s="72"/>
      <c r="S110" s="26">
        <v>38.991497613365155</v>
      </c>
      <c r="T110" s="26"/>
      <c r="U110" s="26"/>
      <c r="V110" s="36"/>
      <c r="W110" s="36"/>
      <c r="X110" s="24"/>
    </row>
    <row r="111" spans="1:24" hidden="1" x14ac:dyDescent="0.35">
      <c r="B111" s="2">
        <v>1988</v>
      </c>
      <c r="C111" s="3">
        <v>220</v>
      </c>
      <c r="D111" s="3"/>
      <c r="E111" s="3">
        <v>6773</v>
      </c>
      <c r="F111" s="24"/>
      <c r="G111" s="3">
        <v>30.786363636363635</v>
      </c>
      <c r="H111" s="24"/>
      <c r="I111" s="3">
        <v>259117</v>
      </c>
      <c r="J111" s="3"/>
      <c r="K111" s="3">
        <v>9962</v>
      </c>
      <c r="L111" s="3"/>
      <c r="M111" s="26"/>
      <c r="N111" s="26">
        <v>45.281818181818181</v>
      </c>
      <c r="O111" s="24"/>
      <c r="P111" s="72">
        <v>1.4708401003986418</v>
      </c>
      <c r="Q111" s="72"/>
      <c r="R111" s="72"/>
      <c r="S111" s="26">
        <v>38.25734534179832</v>
      </c>
      <c r="T111" s="26"/>
      <c r="U111" s="26"/>
      <c r="V111" s="36"/>
      <c r="W111" s="36"/>
      <c r="X111" s="24"/>
    </row>
    <row r="112" spans="1:24" hidden="1" x14ac:dyDescent="0.35">
      <c r="B112" s="2">
        <v>1989</v>
      </c>
      <c r="C112" s="3">
        <v>211</v>
      </c>
      <c r="D112" s="3"/>
      <c r="E112" s="3">
        <v>6739</v>
      </c>
      <c r="F112" s="24"/>
      <c r="G112" s="3">
        <v>31.938388625592417</v>
      </c>
      <c r="H112" s="24"/>
      <c r="I112" s="3">
        <v>257690</v>
      </c>
      <c r="J112" s="3"/>
      <c r="K112" s="3">
        <v>9998</v>
      </c>
      <c r="L112" s="3"/>
      <c r="M112" s="26"/>
      <c r="N112" s="26">
        <v>47.383886255924168</v>
      </c>
      <c r="O112" s="24"/>
      <c r="P112" s="72">
        <v>1.483602908443389</v>
      </c>
      <c r="Q112" s="72"/>
      <c r="R112" s="72"/>
      <c r="S112" s="26">
        <v>38.238611069891675</v>
      </c>
      <c r="T112" s="26"/>
      <c r="U112" s="26"/>
      <c r="V112" s="36"/>
      <c r="W112" s="36"/>
      <c r="X112" s="24"/>
    </row>
    <row r="113" spans="2:24" hidden="1" x14ac:dyDescent="0.35">
      <c r="B113" s="2">
        <v>1990</v>
      </c>
      <c r="C113" s="3">
        <v>207</v>
      </c>
      <c r="D113" s="3"/>
      <c r="E113" s="3">
        <v>6658</v>
      </c>
      <c r="F113" s="24"/>
      <c r="G113" s="3">
        <v>32.164251207729471</v>
      </c>
      <c r="H113" s="24"/>
      <c r="I113" s="3">
        <v>257757</v>
      </c>
      <c r="J113" s="3"/>
      <c r="K113" s="3">
        <v>10006</v>
      </c>
      <c r="L113" s="3"/>
      <c r="M113" s="26"/>
      <c r="N113" s="26">
        <v>48.338164251207729</v>
      </c>
      <c r="O113" s="24"/>
      <c r="P113" s="72">
        <v>1.5028537098227694</v>
      </c>
      <c r="Q113" s="72"/>
      <c r="R113" s="72"/>
      <c r="S113" s="26">
        <v>38.713878041453889</v>
      </c>
      <c r="T113" s="26"/>
      <c r="U113" s="26"/>
      <c r="V113" s="36"/>
      <c r="W113" s="36"/>
      <c r="X113" s="24"/>
    </row>
    <row r="114" spans="2:24" hidden="1" x14ac:dyDescent="0.35">
      <c r="B114" s="2">
        <v>1991</v>
      </c>
      <c r="C114" s="3">
        <v>201</v>
      </c>
      <c r="D114" s="3"/>
      <c r="E114" s="3">
        <v>6551</v>
      </c>
      <c r="F114" s="24"/>
      <c r="G114" s="3">
        <v>32.592039800995025</v>
      </c>
      <c r="H114" s="24"/>
      <c r="I114" s="3">
        <v>260109</v>
      </c>
      <c r="J114" s="3"/>
      <c r="K114" s="3">
        <v>9843</v>
      </c>
      <c r="L114" s="3"/>
      <c r="M114" s="26"/>
      <c r="N114" s="26">
        <v>48.970149253731343</v>
      </c>
      <c r="O114" s="24"/>
      <c r="P114" s="72">
        <v>1.5025186994352007</v>
      </c>
      <c r="Q114" s="72"/>
      <c r="R114" s="72"/>
      <c r="S114" s="26">
        <v>39.705235841856208</v>
      </c>
      <c r="T114" s="26"/>
      <c r="U114" s="26"/>
      <c r="V114" s="36"/>
      <c r="W114" s="36"/>
      <c r="X114" s="24"/>
    </row>
    <row r="115" spans="2:24" hidden="1" x14ac:dyDescent="0.35">
      <c r="B115" s="2">
        <v>1992</v>
      </c>
      <c r="C115" s="3">
        <v>193</v>
      </c>
      <c r="D115" s="3"/>
      <c r="E115" s="3">
        <v>6647</v>
      </c>
      <c r="F115" s="24"/>
      <c r="G115" s="3">
        <v>34.440414507772019</v>
      </c>
      <c r="H115" s="24"/>
      <c r="I115" s="3">
        <v>262465</v>
      </c>
      <c r="J115" s="3"/>
      <c r="K115" s="3">
        <v>10188</v>
      </c>
      <c r="L115" s="3"/>
      <c r="M115" s="26"/>
      <c r="N115" s="26">
        <v>52.787564766839381</v>
      </c>
      <c r="O115" s="24"/>
      <c r="P115" s="72">
        <v>1.532721528509102</v>
      </c>
      <c r="Q115" s="72"/>
      <c r="R115" s="72"/>
      <c r="S115" s="26">
        <v>39.486234391454794</v>
      </c>
      <c r="T115" s="26"/>
      <c r="U115" s="26"/>
      <c r="V115" s="36"/>
      <c r="W115" s="36"/>
      <c r="X115" s="24"/>
    </row>
    <row r="116" spans="2:24" hidden="1" x14ac:dyDescent="0.35">
      <c r="B116" s="2">
        <v>1993</v>
      </c>
      <c r="C116" s="3">
        <v>192</v>
      </c>
      <c r="D116" s="3"/>
      <c r="E116" s="3">
        <v>7098</v>
      </c>
      <c r="F116" s="24"/>
      <c r="G116" s="3">
        <v>36.96875</v>
      </c>
      <c r="H116" s="24"/>
      <c r="I116" s="3">
        <v>261402</v>
      </c>
      <c r="J116" s="3"/>
      <c r="K116" s="3">
        <v>10711</v>
      </c>
      <c r="L116" s="3"/>
      <c r="M116" s="26"/>
      <c r="N116" s="26">
        <v>55.786458333333336</v>
      </c>
      <c r="O116" s="24"/>
      <c r="P116" s="72">
        <v>1.50901662440124</v>
      </c>
      <c r="Q116" s="72"/>
      <c r="R116" s="72"/>
      <c r="S116" s="26">
        <v>36.827557058326292</v>
      </c>
      <c r="T116" s="26"/>
      <c r="U116" s="26"/>
      <c r="V116" s="36"/>
      <c r="W116" s="36"/>
      <c r="X116" s="24"/>
    </row>
    <row r="117" spans="2:24" hidden="1" x14ac:dyDescent="0.35">
      <c r="B117" s="2">
        <v>1994</v>
      </c>
      <c r="C117" s="3">
        <v>193</v>
      </c>
      <c r="D117" s="3"/>
      <c r="E117" s="3">
        <v>6654</v>
      </c>
      <c r="F117" s="24"/>
      <c r="G117" s="3">
        <v>34.476683937823836</v>
      </c>
      <c r="H117" s="24"/>
      <c r="I117" s="3">
        <v>251005</v>
      </c>
      <c r="J117" s="3"/>
      <c r="K117" s="3">
        <v>10553</v>
      </c>
      <c r="L117" s="3"/>
      <c r="M117" s="26"/>
      <c r="N117" s="26">
        <v>54.678756476683937</v>
      </c>
      <c r="O117" s="24"/>
      <c r="P117" s="72">
        <v>1.5859633303276224</v>
      </c>
      <c r="Q117" s="72"/>
      <c r="R117" s="72"/>
      <c r="S117" s="26">
        <v>37.722422602945599</v>
      </c>
      <c r="T117" s="26"/>
      <c r="U117" s="26"/>
      <c r="V117" s="36"/>
      <c r="W117" s="36"/>
      <c r="X117" s="24"/>
    </row>
    <row r="118" spans="2:24" hidden="1" x14ac:dyDescent="0.35">
      <c r="B118" s="2">
        <v>1995</v>
      </c>
      <c r="C118" s="3">
        <v>198</v>
      </c>
      <c r="D118" s="3"/>
      <c r="E118" s="3">
        <v>6998</v>
      </c>
      <c r="F118" s="24"/>
      <c r="G118" s="3">
        <v>35.343434343434346</v>
      </c>
      <c r="H118" s="24"/>
      <c r="I118" s="3">
        <v>261553</v>
      </c>
      <c r="J118" s="3"/>
      <c r="K118" s="3">
        <v>10479</v>
      </c>
      <c r="L118" s="3"/>
      <c r="M118" s="26"/>
      <c r="N118" s="26">
        <v>52.924242424242422</v>
      </c>
      <c r="O118" s="24"/>
      <c r="P118" s="72">
        <v>1.4974278365247211</v>
      </c>
      <c r="Q118" s="72"/>
      <c r="R118" s="72"/>
      <c r="S118" s="26">
        <v>37.375392969419835</v>
      </c>
      <c r="T118" s="26"/>
      <c r="U118" s="26"/>
      <c r="V118" s="36"/>
      <c r="W118" s="36"/>
      <c r="X118" s="24"/>
    </row>
    <row r="119" spans="2:24" hidden="1" x14ac:dyDescent="0.35">
      <c r="B119" s="2">
        <v>1996</v>
      </c>
      <c r="C119" s="3">
        <v>197</v>
      </c>
      <c r="D119" s="3"/>
      <c r="E119" s="3">
        <v>7239</v>
      </c>
      <c r="F119" s="24"/>
      <c r="G119" s="3">
        <v>36.746192893401016</v>
      </c>
      <c r="H119" s="24"/>
      <c r="I119" s="3">
        <v>269432</v>
      </c>
      <c r="J119" s="3"/>
      <c r="K119" s="3">
        <v>10649</v>
      </c>
      <c r="L119" s="3"/>
      <c r="M119" s="26"/>
      <c r="N119" s="26">
        <v>54.055837563451774</v>
      </c>
      <c r="O119" s="24"/>
      <c r="P119" s="72">
        <v>1.4710595386103051</v>
      </c>
      <c r="Q119" s="72"/>
      <c r="R119" s="72"/>
      <c r="S119" s="26">
        <v>37.219505456554771</v>
      </c>
      <c r="T119" s="26"/>
      <c r="U119" s="26"/>
      <c r="V119" s="36"/>
      <c r="W119" s="36"/>
      <c r="X119" s="24"/>
    </row>
    <row r="120" spans="2:24" hidden="1" x14ac:dyDescent="0.35">
      <c r="B120" s="2">
        <v>1997</v>
      </c>
      <c r="C120" s="3">
        <v>196</v>
      </c>
      <c r="D120" s="3"/>
      <c r="E120" s="3">
        <v>7473</v>
      </c>
      <c r="F120" s="24"/>
      <c r="G120" s="3">
        <v>38.127551020408163</v>
      </c>
      <c r="H120" s="24"/>
      <c r="I120" s="3">
        <v>280314</v>
      </c>
      <c r="J120" s="3"/>
      <c r="K120" s="3">
        <v>10577</v>
      </c>
      <c r="L120" s="3"/>
      <c r="M120" s="26"/>
      <c r="N120" s="26">
        <v>53.964285714285715</v>
      </c>
      <c r="O120" s="24"/>
      <c r="P120" s="72">
        <v>1.4153619697577948</v>
      </c>
      <c r="Q120" s="72"/>
      <c r="R120" s="72"/>
      <c r="S120" s="26">
        <v>37.510236852669614</v>
      </c>
      <c r="T120" s="26"/>
      <c r="U120" s="26"/>
      <c r="V120" s="36"/>
      <c r="W120" s="36"/>
      <c r="X120" s="24"/>
    </row>
    <row r="121" spans="2:24" hidden="1" x14ac:dyDescent="0.35">
      <c r="B121" s="2">
        <v>1998</v>
      </c>
      <c r="C121" s="3">
        <v>193</v>
      </c>
      <c r="D121" s="3"/>
      <c r="E121" s="3">
        <v>7684</v>
      </c>
      <c r="F121" s="24"/>
      <c r="G121" s="3">
        <v>39.813471502590673</v>
      </c>
      <c r="H121" s="24"/>
      <c r="I121" s="3">
        <v>288228</v>
      </c>
      <c r="J121" s="3"/>
      <c r="K121" s="3">
        <v>10968</v>
      </c>
      <c r="L121" s="3"/>
      <c r="M121" s="26"/>
      <c r="N121" s="26">
        <v>56.829015544041454</v>
      </c>
      <c r="O121" s="24"/>
      <c r="P121" s="72">
        <v>1.4273815720978658</v>
      </c>
      <c r="Q121" s="72"/>
      <c r="R121" s="72"/>
      <c r="S121" s="26">
        <v>37.510150963040083</v>
      </c>
      <c r="T121" s="26"/>
      <c r="U121" s="26"/>
      <c r="V121" s="36"/>
      <c r="W121" s="36"/>
      <c r="X121" s="24"/>
    </row>
    <row r="122" spans="2:24" hidden="1" x14ac:dyDescent="0.35">
      <c r="B122" s="2">
        <v>1999</v>
      </c>
      <c r="C122" s="3">
        <v>199</v>
      </c>
      <c r="D122" s="3"/>
      <c r="E122" s="3">
        <v>8061</v>
      </c>
      <c r="F122" s="24"/>
      <c r="G122" s="3">
        <v>40.507537688442213</v>
      </c>
      <c r="H122" s="24"/>
      <c r="I122" s="3">
        <v>299959</v>
      </c>
      <c r="J122" s="3"/>
      <c r="K122" s="3">
        <v>11272</v>
      </c>
      <c r="L122" s="3"/>
      <c r="M122" s="26"/>
      <c r="N122" s="26">
        <v>56.643216080402013</v>
      </c>
      <c r="O122" s="24"/>
      <c r="P122" s="72">
        <v>1.3983376752263987</v>
      </c>
      <c r="Q122" s="72"/>
      <c r="R122" s="72"/>
      <c r="S122" s="26">
        <v>37.211140057064881</v>
      </c>
      <c r="T122" s="26"/>
      <c r="U122" s="26"/>
      <c r="V122" s="36"/>
      <c r="W122" s="36"/>
      <c r="X122" s="24"/>
    </row>
    <row r="123" spans="2:24" hidden="1" x14ac:dyDescent="0.35">
      <c r="B123" s="2">
        <v>2000</v>
      </c>
      <c r="C123" s="3">
        <v>201</v>
      </c>
      <c r="D123" s="3"/>
      <c r="E123" s="3">
        <v>8196</v>
      </c>
      <c r="F123" s="24"/>
      <c r="G123" s="3">
        <v>40.776119402985074</v>
      </c>
      <c r="H123" s="24"/>
      <c r="I123" s="3">
        <v>305705</v>
      </c>
      <c r="J123" s="3"/>
      <c r="K123" s="3">
        <v>11923</v>
      </c>
      <c r="L123" s="3"/>
      <c r="M123" s="26"/>
      <c r="N123" s="26">
        <v>59.318407960199004</v>
      </c>
      <c r="O123" s="24"/>
      <c r="P123" s="72">
        <v>1.4547340165934601</v>
      </c>
      <c r="Q123" s="72"/>
      <c r="R123" s="72"/>
      <c r="S123" s="26">
        <v>37.299292337725717</v>
      </c>
      <c r="T123" s="26"/>
      <c r="U123" s="26"/>
      <c r="V123" s="36"/>
      <c r="W123" s="36"/>
      <c r="X123" s="24"/>
    </row>
    <row r="124" spans="2:24" hidden="1" x14ac:dyDescent="0.35">
      <c r="B124" s="2">
        <v>2001</v>
      </c>
      <c r="C124" s="3">
        <v>197</v>
      </c>
      <c r="D124" s="3"/>
      <c r="E124" s="3">
        <v>8088</v>
      </c>
      <c r="F124" s="24"/>
      <c r="G124" s="3">
        <v>41.055837563451774</v>
      </c>
      <c r="H124" s="24"/>
      <c r="I124" s="3">
        <v>302566</v>
      </c>
      <c r="J124" s="3"/>
      <c r="K124" s="3">
        <v>12065</v>
      </c>
      <c r="L124" s="3"/>
      <c r="M124" s="26"/>
      <c r="N124" s="26">
        <v>61.243654822335024</v>
      </c>
      <c r="O124" s="24"/>
      <c r="P124" s="72">
        <v>1.4917161226508409</v>
      </c>
      <c r="Q124" s="72"/>
      <c r="R124" s="72"/>
      <c r="S124" s="26">
        <v>37.409248269040553</v>
      </c>
      <c r="T124" s="26"/>
      <c r="U124" s="26"/>
      <c r="V124" s="36"/>
      <c r="W124" s="36"/>
      <c r="X124" s="24"/>
    </row>
    <row r="125" spans="2:24" hidden="1" x14ac:dyDescent="0.35">
      <c r="B125" s="2">
        <v>2002</v>
      </c>
      <c r="C125" s="3">
        <v>183</v>
      </c>
      <c r="D125" s="3"/>
      <c r="E125" s="3">
        <v>8040</v>
      </c>
      <c r="F125" s="24"/>
      <c r="G125" s="3">
        <v>43.934426229508198</v>
      </c>
      <c r="H125" s="24"/>
      <c r="I125" s="3">
        <v>302501</v>
      </c>
      <c r="J125" s="3"/>
      <c r="K125" s="3">
        <v>12423</v>
      </c>
      <c r="L125" s="3"/>
      <c r="M125" s="26"/>
      <c r="N125" s="26">
        <v>67.885245901639351</v>
      </c>
      <c r="O125" s="24"/>
      <c r="P125" s="72">
        <v>1.5451492537313434</v>
      </c>
      <c r="Q125" s="72"/>
      <c r="R125" s="72"/>
      <c r="S125" s="26">
        <v>37.624502487562189</v>
      </c>
      <c r="T125" s="26"/>
      <c r="U125" s="26"/>
      <c r="V125" s="36"/>
      <c r="W125" s="36"/>
      <c r="X125" s="24"/>
    </row>
    <row r="126" spans="2:24" hidden="1" x14ac:dyDescent="0.35">
      <c r="B126" s="2">
        <v>2003</v>
      </c>
      <c r="C126" s="3">
        <v>178</v>
      </c>
      <c r="D126" s="3"/>
      <c r="E126" s="3">
        <v>7944</v>
      </c>
      <c r="F126" s="24"/>
      <c r="G126" s="3">
        <v>44.629213483146067</v>
      </c>
      <c r="H126" s="24"/>
      <c r="I126" s="3">
        <v>299939</v>
      </c>
      <c r="J126" s="3"/>
      <c r="K126" s="3">
        <v>12025</v>
      </c>
      <c r="L126" s="3"/>
      <c r="M126" s="26"/>
      <c r="N126" s="26">
        <v>67.556179775280896</v>
      </c>
      <c r="O126" s="24"/>
      <c r="P126" s="72">
        <v>1.5137210473313192</v>
      </c>
      <c r="Q126" s="72"/>
      <c r="R126" s="72"/>
      <c r="S126" s="26">
        <v>37.75667170191339</v>
      </c>
      <c r="T126" s="26"/>
      <c r="U126" s="26"/>
      <c r="V126" s="36"/>
      <c r="W126" s="36"/>
      <c r="X126" s="24"/>
    </row>
    <row r="127" spans="2:24" hidden="1" x14ac:dyDescent="0.35">
      <c r="B127" s="2">
        <v>2004</v>
      </c>
      <c r="C127" s="3">
        <v>177</v>
      </c>
      <c r="D127" s="3"/>
      <c r="E127" s="3">
        <v>7873</v>
      </c>
      <c r="F127" s="24"/>
      <c r="G127" s="3">
        <v>44.480225988700568</v>
      </c>
      <c r="H127" s="24"/>
      <c r="I127" s="3">
        <v>296419</v>
      </c>
      <c r="J127" s="3"/>
      <c r="K127" s="3">
        <v>12209</v>
      </c>
      <c r="L127" s="3"/>
      <c r="M127" s="26"/>
      <c r="N127" s="26">
        <v>68.977401129943502</v>
      </c>
      <c r="O127" s="24"/>
      <c r="P127" s="72">
        <v>1.550743045852915</v>
      </c>
      <c r="Q127" s="72"/>
      <c r="R127" s="72"/>
      <c r="S127" s="26">
        <v>37.650069859011815</v>
      </c>
      <c r="T127" s="26"/>
      <c r="U127" s="26"/>
      <c r="V127" s="36"/>
      <c r="W127" s="36"/>
      <c r="X127" s="24"/>
    </row>
    <row r="128" spans="2:24" hidden="1" x14ac:dyDescent="0.35">
      <c r="B128" s="2">
        <v>2005</v>
      </c>
      <c r="C128" s="3">
        <v>173</v>
      </c>
      <c r="D128" s="3"/>
      <c r="E128" s="3">
        <v>8036</v>
      </c>
      <c r="F128" s="24"/>
      <c r="G128" s="3">
        <v>46.450867052023121</v>
      </c>
      <c r="H128" s="24"/>
      <c r="I128" s="3">
        <v>282793</v>
      </c>
      <c r="J128" s="3"/>
      <c r="K128" s="3">
        <v>12022</v>
      </c>
      <c r="L128" s="3"/>
      <c r="M128" s="26"/>
      <c r="N128" s="26">
        <v>69.49132947976878</v>
      </c>
      <c r="O128" s="24"/>
      <c r="P128" s="72">
        <v>1.4960179193628669</v>
      </c>
      <c r="Q128" s="72"/>
      <c r="R128" s="72"/>
      <c r="S128" s="26">
        <v>35.190766550522646</v>
      </c>
      <c r="T128" s="26"/>
      <c r="U128" s="26"/>
      <c r="V128" s="36"/>
      <c r="W128" s="36"/>
      <c r="X128" s="24"/>
    </row>
    <row r="129" spans="2:24" hidden="1" x14ac:dyDescent="0.35">
      <c r="B129" s="2">
        <v>2006</v>
      </c>
      <c r="C129" s="3">
        <v>172</v>
      </c>
      <c r="D129" s="3"/>
      <c r="E129" s="3">
        <v>8235</v>
      </c>
      <c r="F129" s="24"/>
      <c r="G129" s="3">
        <v>47.877906976744185</v>
      </c>
      <c r="H129" s="24"/>
      <c r="I129" s="3">
        <v>277291</v>
      </c>
      <c r="J129" s="3"/>
      <c r="K129" s="3">
        <v>12268</v>
      </c>
      <c r="L129" s="3"/>
      <c r="M129" s="26"/>
      <c r="N129" s="26">
        <v>71.325581395348834</v>
      </c>
      <c r="O129" s="24"/>
      <c r="P129" s="72">
        <v>1.489738919247116</v>
      </c>
      <c r="Q129" s="72"/>
      <c r="R129" s="72"/>
      <c r="S129" s="26">
        <v>33.672252580449303</v>
      </c>
      <c r="T129" s="26"/>
      <c r="U129" s="26"/>
      <c r="V129" s="36"/>
      <c r="W129" s="36"/>
      <c r="X129" s="24"/>
    </row>
    <row r="130" spans="2:24" hidden="1" x14ac:dyDescent="0.35">
      <c r="B130" s="2">
        <v>2007</v>
      </c>
      <c r="C130" s="3">
        <v>170</v>
      </c>
      <c r="D130" s="3"/>
      <c r="E130" s="3">
        <v>8247</v>
      </c>
      <c r="F130" s="24"/>
      <c r="G130" s="3">
        <v>48.511764705882356</v>
      </c>
      <c r="H130" s="24"/>
      <c r="I130" s="3">
        <v>277772</v>
      </c>
      <c r="J130" s="3"/>
      <c r="K130" s="3">
        <v>12472</v>
      </c>
      <c r="L130" s="3"/>
      <c r="M130" s="26"/>
      <c r="N130" s="26">
        <v>73.364705882352936</v>
      </c>
      <c r="O130" s="24"/>
      <c r="P130" s="72">
        <v>1.51230750575967</v>
      </c>
      <c r="Q130" s="72"/>
      <c r="R130" s="72"/>
      <c r="S130" s="26">
        <v>33.681581181035526</v>
      </c>
      <c r="T130" s="26"/>
      <c r="U130" s="26"/>
      <c r="V130" s="36"/>
      <c r="W130" s="36"/>
      <c r="X130" s="24"/>
    </row>
    <row r="131" spans="2:24" hidden="1" x14ac:dyDescent="0.35">
      <c r="B131" s="2">
        <v>2008</v>
      </c>
      <c r="C131" s="3">
        <v>174</v>
      </c>
      <c r="D131" s="3"/>
      <c r="E131" s="3">
        <v>8097</v>
      </c>
      <c r="F131" s="24"/>
      <c r="G131" s="3">
        <v>46.53448275862069</v>
      </c>
      <c r="H131" s="24"/>
      <c r="I131" s="3">
        <v>272097</v>
      </c>
      <c r="J131" s="3"/>
      <c r="K131" s="3">
        <v>12723</v>
      </c>
      <c r="L131" s="3"/>
      <c r="M131" s="26"/>
      <c r="N131" s="26">
        <v>73.120689655172413</v>
      </c>
      <c r="O131" s="24"/>
      <c r="P131" s="72">
        <v>1.5713227121155984</v>
      </c>
      <c r="Q131" s="72"/>
      <c r="R131" s="72"/>
      <c r="S131" s="26">
        <v>33.604668395702113</v>
      </c>
      <c r="T131" s="26"/>
      <c r="U131" s="26"/>
      <c r="V131" s="36"/>
      <c r="W131" s="36"/>
      <c r="X131" s="24"/>
    </row>
    <row r="132" spans="2:24" hidden="1" x14ac:dyDescent="0.35">
      <c r="B132" s="2">
        <v>2009</v>
      </c>
      <c r="C132" s="3">
        <v>172</v>
      </c>
      <c r="D132" s="3"/>
      <c r="E132" s="3">
        <v>7906</v>
      </c>
      <c r="F132" s="24"/>
      <c r="G132" s="3">
        <v>45.965116279069768</v>
      </c>
      <c r="H132" s="24"/>
      <c r="I132" s="3">
        <v>265104</v>
      </c>
      <c r="J132" s="3"/>
      <c r="K132" s="3">
        <v>13493</v>
      </c>
      <c r="L132" s="3"/>
      <c r="M132" s="26"/>
      <c r="N132" s="26">
        <v>78.447674418604649</v>
      </c>
      <c r="O132" s="24"/>
      <c r="P132" s="72">
        <v>1.7066784720465469</v>
      </c>
      <c r="Q132" s="72"/>
      <c r="R132" s="72"/>
      <c r="S132" s="26">
        <v>33.532001011889705</v>
      </c>
      <c r="T132" s="26"/>
      <c r="U132" s="26"/>
      <c r="V132" s="36"/>
      <c r="W132" s="36"/>
      <c r="X132" s="24"/>
    </row>
    <row r="133" spans="2:24" hidden="1" x14ac:dyDescent="0.35">
      <c r="B133" s="2">
        <v>2010</v>
      </c>
      <c r="C133" s="3">
        <v>173</v>
      </c>
      <c r="D133" s="3"/>
      <c r="E133" s="3">
        <v>7692</v>
      </c>
      <c r="F133" s="24"/>
      <c r="G133" s="3">
        <v>44.462427745664741</v>
      </c>
      <c r="H133" s="24"/>
      <c r="I133" s="3">
        <v>256801</v>
      </c>
      <c r="J133" s="3"/>
      <c r="K133" s="3">
        <v>13318</v>
      </c>
      <c r="L133" s="3"/>
      <c r="M133" s="26"/>
      <c r="N133" s="26">
        <v>76.982658959537574</v>
      </c>
      <c r="O133" s="24"/>
      <c r="P133" s="72">
        <v>1.7314092563702548</v>
      </c>
      <c r="Q133" s="72"/>
      <c r="R133" s="72"/>
      <c r="S133" s="26">
        <v>33.385465418616747</v>
      </c>
      <c r="T133" s="26"/>
      <c r="U133" s="26"/>
      <c r="V133" s="36"/>
      <c r="W133" s="36"/>
      <c r="X133" s="24"/>
    </row>
    <row r="134" spans="2:24" hidden="1" x14ac:dyDescent="0.35">
      <c r="B134" s="2">
        <v>2011</v>
      </c>
      <c r="C134" s="3">
        <v>174</v>
      </c>
      <c r="D134" s="3"/>
      <c r="E134" s="3">
        <v>7522</v>
      </c>
      <c r="F134" s="24"/>
      <c r="G134" s="3">
        <v>43.229885057471265</v>
      </c>
      <c r="H134" s="24"/>
      <c r="I134" s="69">
        <v>25.116499999999998</v>
      </c>
      <c r="J134" s="3"/>
      <c r="K134" s="69">
        <v>13.586</v>
      </c>
      <c r="L134" s="69"/>
      <c r="M134" s="74"/>
      <c r="N134" s="26">
        <v>78.080459770114942</v>
      </c>
      <c r="O134" s="24"/>
      <c r="P134" s="72">
        <v>1.8061685721882479</v>
      </c>
      <c r="Q134" s="72"/>
      <c r="R134" s="72"/>
      <c r="S134" s="26">
        <v>33.390720553044403</v>
      </c>
      <c r="T134" s="26"/>
      <c r="U134" s="26"/>
      <c r="V134" s="36"/>
      <c r="W134" s="36"/>
      <c r="X134" s="24"/>
    </row>
    <row r="135" spans="2:24" hidden="1" x14ac:dyDescent="0.35">
      <c r="B135" s="2">
        <v>2012</v>
      </c>
      <c r="C135" s="3">
        <v>175</v>
      </c>
      <c r="D135" s="3"/>
      <c r="E135" s="3">
        <v>7377</v>
      </c>
      <c r="F135" s="24"/>
      <c r="G135" s="3">
        <v>42.154285714285713</v>
      </c>
      <c r="H135" s="24"/>
      <c r="I135" s="69">
        <v>24.556000000000001</v>
      </c>
      <c r="J135" s="3"/>
      <c r="K135" s="69">
        <v>13.978999999999999</v>
      </c>
      <c r="L135" s="69"/>
      <c r="M135" s="74"/>
      <c r="N135" s="26">
        <v>79.88</v>
      </c>
      <c r="O135" s="24"/>
      <c r="P135" s="72">
        <v>1.8949437440694048</v>
      </c>
      <c r="Q135" s="72"/>
      <c r="R135" s="72"/>
      <c r="S135" s="26">
        <v>33.287244137183137</v>
      </c>
      <c r="T135" s="26"/>
      <c r="U135" s="26"/>
      <c r="V135" s="36"/>
      <c r="W135" s="36"/>
      <c r="X135" s="24"/>
    </row>
    <row r="136" spans="2:24" hidden="1" x14ac:dyDescent="0.35">
      <c r="B136" s="2">
        <v>2013</v>
      </c>
      <c r="C136" s="3">
        <v>182</v>
      </c>
      <c r="D136" s="3"/>
      <c r="E136" s="3">
        <v>7242</v>
      </c>
      <c r="F136" s="24"/>
      <c r="G136" s="3">
        <v>39.791208791208788</v>
      </c>
      <c r="H136" s="24"/>
      <c r="I136" s="69">
        <v>23.686199999999999</v>
      </c>
      <c r="J136" s="3"/>
      <c r="K136" s="69">
        <v>14.442</v>
      </c>
      <c r="L136" s="69"/>
      <c r="M136" s="74"/>
      <c r="N136" s="26">
        <v>79.35164835164835</v>
      </c>
      <c r="O136" s="24"/>
      <c r="P136" s="72">
        <v>1.9942004971002487</v>
      </c>
      <c r="Q136" s="72"/>
      <c r="R136" s="72"/>
      <c r="S136" s="26">
        <v>32.706710853355425</v>
      </c>
      <c r="T136" s="26"/>
      <c r="U136" s="26"/>
      <c r="V136" s="36"/>
      <c r="W136" s="36"/>
      <c r="X136" s="24"/>
    </row>
    <row r="137" spans="2:24" hidden="1" x14ac:dyDescent="0.35">
      <c r="B137" s="2">
        <v>2014</v>
      </c>
      <c r="C137" s="3">
        <v>185</v>
      </c>
      <c r="D137" s="3"/>
      <c r="E137" s="3">
        <v>7196</v>
      </c>
      <c r="F137" s="24"/>
      <c r="G137" s="3">
        <v>38.8972972972973</v>
      </c>
      <c r="H137" s="24"/>
      <c r="I137" s="69">
        <v>23.4499</v>
      </c>
      <c r="J137" s="3"/>
      <c r="K137" s="69">
        <v>14.343</v>
      </c>
      <c r="L137" s="69"/>
      <c r="M137" s="74"/>
      <c r="N137" s="26">
        <v>77.529729729729723</v>
      </c>
      <c r="O137" s="24"/>
      <c r="P137" s="72">
        <v>1.993190661478599</v>
      </c>
      <c r="Q137" s="72"/>
      <c r="R137" s="72"/>
      <c r="S137" s="26">
        <v>32.587409672040025</v>
      </c>
      <c r="T137" s="26"/>
      <c r="U137" s="26"/>
      <c r="V137" s="36"/>
      <c r="W137" s="36"/>
      <c r="X137" s="24"/>
    </row>
    <row r="138" spans="2:24" hidden="1" x14ac:dyDescent="0.35">
      <c r="B138" s="2">
        <v>2015</v>
      </c>
      <c r="C138" s="3">
        <v>182</v>
      </c>
      <c r="D138" s="3"/>
      <c r="E138" s="3">
        <v>7141</v>
      </c>
      <c r="F138" s="24"/>
      <c r="G138" s="3">
        <v>39.236263736263737</v>
      </c>
      <c r="H138" s="24"/>
      <c r="I138" s="69">
        <v>23.193300000000001</v>
      </c>
      <c r="J138" s="3"/>
      <c r="K138" s="69">
        <v>14.566000000000001</v>
      </c>
      <c r="L138" s="69"/>
      <c r="M138" s="74"/>
      <c r="N138" s="26">
        <v>80.032967032967036</v>
      </c>
      <c r="O138" s="24"/>
      <c r="P138" s="72">
        <v>2.039770340288475</v>
      </c>
      <c r="Q138" s="72"/>
      <c r="R138" s="72"/>
      <c r="S138" s="26">
        <v>32.479064556784763</v>
      </c>
      <c r="T138" s="26"/>
      <c r="U138" s="26"/>
      <c r="V138" s="36"/>
      <c r="W138" s="36"/>
      <c r="X138" s="24"/>
    </row>
    <row r="139" spans="2:24" hidden="1" x14ac:dyDescent="0.35">
      <c r="B139" s="2">
        <v>2016</v>
      </c>
      <c r="C139" s="3">
        <v>185</v>
      </c>
      <c r="D139" s="3"/>
      <c r="E139" s="3">
        <v>7143</v>
      </c>
      <c r="F139" s="24"/>
      <c r="G139" s="3">
        <v>38.610810810810811</v>
      </c>
      <c r="H139" s="24"/>
      <c r="I139" s="69">
        <v>23.0989</v>
      </c>
      <c r="J139" s="3"/>
      <c r="K139" s="69">
        <v>14.997</v>
      </c>
      <c r="L139" s="69"/>
      <c r="M139" s="74"/>
      <c r="N139" s="26">
        <v>81.064864864864859</v>
      </c>
      <c r="O139" s="24"/>
      <c r="P139" s="72">
        <v>2.099538009239815</v>
      </c>
      <c r="Q139" s="72"/>
      <c r="R139" s="72"/>
      <c r="S139" s="26">
        <v>32.337813243735127</v>
      </c>
      <c r="T139" s="26"/>
      <c r="U139" s="26"/>
      <c r="V139" s="36"/>
      <c r="W139" s="36"/>
      <c r="X139" s="24"/>
    </row>
    <row r="140" spans="2:24" hidden="1" x14ac:dyDescent="0.35">
      <c r="B140" s="2">
        <v>2017</v>
      </c>
      <c r="C140" s="3">
        <v>185</v>
      </c>
      <c r="D140" s="3"/>
      <c r="E140" s="3">
        <v>7105</v>
      </c>
      <c r="F140" s="24"/>
      <c r="G140" s="3">
        <v>38.405405405405403</v>
      </c>
      <c r="H140" s="24"/>
      <c r="I140" s="69">
        <v>22.867000000000001</v>
      </c>
      <c r="J140" s="3"/>
      <c r="K140" s="69">
        <v>15.183</v>
      </c>
      <c r="L140" s="69"/>
      <c r="M140" s="74"/>
      <c r="N140" s="26">
        <v>82.070270270270271</v>
      </c>
      <c r="O140" s="24"/>
      <c r="P140" s="72">
        <v>2.1369458128078818</v>
      </c>
      <c r="Q140" s="72"/>
      <c r="R140" s="72"/>
      <c r="S140" s="26">
        <v>32.184377199155527</v>
      </c>
      <c r="T140" s="26"/>
      <c r="U140" s="26"/>
      <c r="V140" s="36"/>
      <c r="W140" s="36"/>
      <c r="X140" s="24"/>
    </row>
    <row r="141" spans="2:24" hidden="1" x14ac:dyDescent="0.35">
      <c r="B141" s="2">
        <v>2018</v>
      </c>
      <c r="C141" s="3">
        <v>186</v>
      </c>
      <c r="D141" s="3"/>
      <c r="E141" s="3">
        <v>7089</v>
      </c>
      <c r="F141" s="24"/>
      <c r="G141" s="3">
        <v>38.112903225806448</v>
      </c>
      <c r="H141" s="24"/>
      <c r="I141" s="69">
        <v>22.740600000000001</v>
      </c>
      <c r="J141" s="3"/>
      <c r="K141" s="69">
        <v>15.364000000000001</v>
      </c>
      <c r="L141" s="69"/>
      <c r="M141" s="74"/>
      <c r="N141" s="26">
        <v>82.602150537634415</v>
      </c>
      <c r="O141" s="24"/>
      <c r="P141" s="72">
        <v>2.1673014529552832</v>
      </c>
      <c r="Q141" s="72"/>
      <c r="R141" s="72"/>
      <c r="S141" s="26">
        <v>32.078713499788407</v>
      </c>
      <c r="T141" s="26"/>
      <c r="U141" s="26"/>
      <c r="V141" s="36"/>
      <c r="W141" s="36"/>
      <c r="X141" s="24"/>
    </row>
    <row r="142" spans="2:24" hidden="1" x14ac:dyDescent="0.35">
      <c r="B142" s="2">
        <v>2019</v>
      </c>
      <c r="C142" s="3">
        <v>179</v>
      </c>
      <c r="D142" s="3"/>
      <c r="E142" s="3">
        <v>7123</v>
      </c>
      <c r="F142" s="24"/>
      <c r="G142" s="3">
        <v>39.793296089385478</v>
      </c>
      <c r="H142" s="24"/>
      <c r="I142" s="69">
        <v>22.806000000000001</v>
      </c>
      <c r="J142" s="3"/>
      <c r="K142" s="69">
        <v>15.436</v>
      </c>
      <c r="L142" s="69"/>
      <c r="M142" s="74"/>
      <c r="N142" s="26">
        <v>86.234636871508386</v>
      </c>
      <c r="O142" s="24"/>
      <c r="P142" s="72">
        <v>2.1670644391408116</v>
      </c>
      <c r="Q142" s="72"/>
      <c r="R142" s="72"/>
      <c r="S142" s="26">
        <v>32.017408395339039</v>
      </c>
      <c r="T142" s="26"/>
      <c r="U142" s="26"/>
      <c r="V142" s="36"/>
      <c r="W142" s="36"/>
      <c r="X142" s="24"/>
    </row>
    <row r="143" spans="2:24" hidden="1" x14ac:dyDescent="0.35">
      <c r="B143" s="2">
        <v>2020</v>
      </c>
      <c r="C143" s="3">
        <v>180</v>
      </c>
      <c r="D143" s="3"/>
      <c r="E143" s="3">
        <v>7064</v>
      </c>
      <c r="F143" s="24"/>
      <c r="G143" s="3">
        <v>39.244444444444447</v>
      </c>
      <c r="H143" s="24"/>
      <c r="I143" s="69">
        <v>22.566099999999999</v>
      </c>
      <c r="J143" s="3"/>
      <c r="K143" s="69">
        <v>15.682</v>
      </c>
      <c r="L143" s="69"/>
      <c r="M143" s="74"/>
      <c r="N143" s="26">
        <v>87.12222222222222</v>
      </c>
      <c r="O143" s="24"/>
      <c r="P143" s="72">
        <v>2.2199886749716873</v>
      </c>
      <c r="Q143" s="72"/>
      <c r="R143" s="72"/>
      <c r="S143" s="26">
        <v>31.945215175537939</v>
      </c>
      <c r="T143" s="26"/>
      <c r="U143" s="26"/>
      <c r="V143" s="36"/>
      <c r="W143" s="36"/>
      <c r="X143" s="83"/>
    </row>
    <row r="144" spans="2:24" x14ac:dyDescent="0.35">
      <c r="B144" s="2">
        <v>2021</v>
      </c>
      <c r="C144" s="24"/>
      <c r="D144" s="27">
        <v>180.74944582182781</v>
      </c>
      <c r="E144" s="24"/>
      <c r="F144" s="3">
        <v>7013.433732908994</v>
      </c>
      <c r="G144" s="24"/>
      <c r="H144" s="3">
        <v>38.801965345013699</v>
      </c>
      <c r="I144" s="24"/>
      <c r="J144" s="69">
        <f>S6/10000</f>
        <v>23.017422</v>
      </c>
      <c r="K144" s="70"/>
      <c r="L144" s="69">
        <f>W20/1000</f>
        <v>16.543772062500004</v>
      </c>
      <c r="M144" s="78">
        <f t="shared" ref="M144:M153" si="27">J68/1000</f>
        <v>0</v>
      </c>
      <c r="N144" s="24"/>
      <c r="O144" s="26">
        <f>U6</f>
        <v>88.014749857797668</v>
      </c>
      <c r="P144" s="73"/>
      <c r="Q144" s="72">
        <f>V6</f>
        <v>2.2683064910553075</v>
      </c>
      <c r="R144" s="75">
        <f>P20</f>
        <v>2.3000000000000003</v>
      </c>
      <c r="S144" s="73"/>
      <c r="T144" s="26">
        <f>W6</f>
        <v>32.269867561971324</v>
      </c>
      <c r="U144" s="76">
        <f>Q20</f>
        <v>32</v>
      </c>
      <c r="V144" s="77">
        <f>R20/100</f>
        <v>0</v>
      </c>
      <c r="W144" s="77">
        <f>S20/100</f>
        <v>0</v>
      </c>
      <c r="X144" s="84">
        <f>Y20/100</f>
        <v>5.4952943661523035E-2</v>
      </c>
    </row>
    <row r="145" spans="2:24" x14ac:dyDescent="0.35">
      <c r="B145" s="2">
        <v>2022</v>
      </c>
      <c r="C145" s="24"/>
      <c r="D145" s="27">
        <v>181.50201202721036</v>
      </c>
      <c r="E145" s="24"/>
      <c r="F145" s="3">
        <v>6972.400954736675</v>
      </c>
      <c r="G145" s="24"/>
      <c r="H145" s="3">
        <v>38.415006406052342</v>
      </c>
      <c r="I145" s="24"/>
      <c r="J145" s="69">
        <f t="shared" ref="J145:J153" si="28">S7/10000</f>
        <v>23.47777044</v>
      </c>
      <c r="K145" s="70"/>
      <c r="L145" s="69">
        <f t="shared" ref="L145:L153" si="29">W21/1000</f>
        <v>17.418990971612903</v>
      </c>
      <c r="M145" s="78">
        <f t="shared" si="27"/>
        <v>0</v>
      </c>
      <c r="N145" s="24"/>
      <c r="O145" s="26">
        <f t="shared" ref="O145:O153" si="30">U7</f>
        <v>88.916421034021482</v>
      </c>
      <c r="P145" s="73"/>
      <c r="Q145" s="72">
        <f t="shared" ref="Q145:Q153" si="31">V7</f>
        <v>2.3146272603513758</v>
      </c>
      <c r="R145" s="75">
        <f t="shared" ref="R145:R153" si="32">P21</f>
        <v>2.3000000000000003</v>
      </c>
      <c r="S145" s="73"/>
      <c r="T145" s="26">
        <f t="shared" ref="T145:T153" si="33">W7</f>
        <v>32.552713937669317</v>
      </c>
      <c r="U145" s="76">
        <f t="shared" ref="U145:U153" si="34">Q21</f>
        <v>31</v>
      </c>
      <c r="V145" s="77">
        <f>R21/100</f>
        <v>0.1</v>
      </c>
      <c r="W145" s="77">
        <f t="shared" ref="W145:W153" si="35">S21/100</f>
        <v>0.05</v>
      </c>
      <c r="X145" s="84">
        <f t="shared" ref="X145:X153" si="36">Y21/100</f>
        <v>0.10554838709677415</v>
      </c>
    </row>
    <row r="146" spans="2:24" x14ac:dyDescent="0.35">
      <c r="B146" s="2">
        <v>2023</v>
      </c>
      <c r="C146" s="24"/>
      <c r="D146" s="27">
        <v>182.25771160813886</v>
      </c>
      <c r="E146" s="24"/>
      <c r="F146" s="3">
        <v>6931.8051961490728</v>
      </c>
      <c r="G146" s="24"/>
      <c r="H146" s="3">
        <v>38.032987109224344</v>
      </c>
      <c r="I146" s="24"/>
      <c r="J146" s="69">
        <f t="shared" si="28"/>
        <v>23.947325848800002</v>
      </c>
      <c r="K146" s="70"/>
      <c r="L146" s="69">
        <f t="shared" si="29"/>
        <v>18.53986517326452</v>
      </c>
      <c r="M146" s="78">
        <f t="shared" si="27"/>
        <v>0</v>
      </c>
      <c r="N146" s="24"/>
      <c r="O146" s="26">
        <f t="shared" si="30"/>
        <v>89.827329422318812</v>
      </c>
      <c r="P146" s="73"/>
      <c r="Q146" s="72">
        <f t="shared" si="31"/>
        <v>2.361826831122936</v>
      </c>
      <c r="R146" s="75">
        <f t="shared" si="32"/>
        <v>2.4000000000000004</v>
      </c>
      <c r="S146" s="73"/>
      <c r="T146" s="26">
        <f t="shared" si="33"/>
        <v>32.834869461809177</v>
      </c>
      <c r="U146" s="76">
        <f t="shared" si="34"/>
        <v>31</v>
      </c>
      <c r="V146" s="77">
        <f t="shared" ref="V146:V153" si="37">R22/100</f>
        <v>0.1</v>
      </c>
      <c r="W146" s="77">
        <f t="shared" si="35"/>
        <v>0.05</v>
      </c>
      <c r="X146" s="84">
        <f t="shared" si="36"/>
        <v>0.11756521739130443</v>
      </c>
    </row>
    <row r="147" spans="2:24" x14ac:dyDescent="0.35">
      <c r="B147" s="2">
        <v>2024</v>
      </c>
      <c r="C147" s="24"/>
      <c r="D147" s="27">
        <v>183.01655761069784</v>
      </c>
      <c r="E147" s="24"/>
      <c r="F147" s="3">
        <v>6891.6418026693082</v>
      </c>
      <c r="G147" s="24"/>
      <c r="H147" s="3">
        <v>37.655837770311507</v>
      </c>
      <c r="I147" s="24"/>
      <c r="J147" s="69">
        <f t="shared" si="28"/>
        <v>24.426272365776001</v>
      </c>
      <c r="K147" s="70"/>
      <c r="L147" s="69">
        <f t="shared" si="29"/>
        <v>19.541017892620804</v>
      </c>
      <c r="M147" s="78">
        <f t="shared" si="27"/>
        <v>0</v>
      </c>
      <c r="N147" s="24"/>
      <c r="O147" s="26">
        <f t="shared" si="30"/>
        <v>90.747569653736022</v>
      </c>
      <c r="P147" s="73"/>
      <c r="Q147" s="72">
        <f t="shared" si="31"/>
        <v>2.4099203477364384</v>
      </c>
      <c r="R147" s="75">
        <f t="shared" si="32"/>
        <v>2.4000000000000004</v>
      </c>
      <c r="S147" s="73"/>
      <c r="T147" s="26">
        <f t="shared" si="33"/>
        <v>33.116281550872252</v>
      </c>
      <c r="U147" s="76">
        <f t="shared" si="34"/>
        <v>30</v>
      </c>
      <c r="V147" s="77">
        <f t="shared" si="37"/>
        <v>0.1</v>
      </c>
      <c r="W147" s="77">
        <f t="shared" si="35"/>
        <v>0.05</v>
      </c>
      <c r="X147" s="84">
        <f t="shared" si="36"/>
        <v>0.10670000000000002</v>
      </c>
    </row>
    <row r="148" spans="2:24" x14ac:dyDescent="0.35">
      <c r="B148" s="2">
        <v>2025</v>
      </c>
      <c r="C148" s="24"/>
      <c r="D148" s="27">
        <v>183.77856313529031</v>
      </c>
      <c r="E148" s="24"/>
      <c r="F148" s="3">
        <v>6851.9061693929998</v>
      </c>
      <c r="G148" s="24"/>
      <c r="H148" s="3">
        <v>37.283489719902235</v>
      </c>
      <c r="I148" s="24"/>
      <c r="J148" s="69">
        <f t="shared" si="28"/>
        <v>24.914797813091525</v>
      </c>
      <c r="K148" s="70"/>
      <c r="L148" s="69">
        <f t="shared" si="29"/>
        <v>20.762331510909608</v>
      </c>
      <c r="M148" s="78">
        <f t="shared" si="27"/>
        <v>0</v>
      </c>
      <c r="N148" s="24"/>
      <c r="O148" s="26">
        <f t="shared" si="30"/>
        <v>91.677237328771611</v>
      </c>
      <c r="P148" s="73"/>
      <c r="Q148" s="72">
        <f t="shared" si="31"/>
        <v>2.4589231860405372</v>
      </c>
      <c r="R148" s="75">
        <f t="shared" si="32"/>
        <v>2.5000000000000004</v>
      </c>
      <c r="S148" s="73"/>
      <c r="T148" s="26">
        <f t="shared" si="33"/>
        <v>33.396898188765796</v>
      </c>
      <c r="U148" s="76">
        <f t="shared" si="34"/>
        <v>30</v>
      </c>
      <c r="V148" s="77">
        <f t="shared" si="37"/>
        <v>0.1</v>
      </c>
      <c r="W148" s="77">
        <f t="shared" si="35"/>
        <v>0.05</v>
      </c>
      <c r="X148" s="84">
        <f t="shared" si="36"/>
        <v>0.11562500000000032</v>
      </c>
    </row>
    <row r="149" spans="2:24" x14ac:dyDescent="0.35">
      <c r="B149" s="2">
        <v>2026</v>
      </c>
      <c r="C149" s="24"/>
      <c r="D149" s="27">
        <v>184.54374133686397</v>
      </c>
      <c r="E149" s="24"/>
      <c r="F149" s="3">
        <v>6812.593740460301</v>
      </c>
      <c r="G149" s="24"/>
      <c r="H149" s="3">
        <v>36.915875288475227</v>
      </c>
      <c r="I149" s="24"/>
      <c r="J149" s="69">
        <f t="shared" si="28"/>
        <v>25.413093769353356</v>
      </c>
      <c r="K149" s="70"/>
      <c r="L149" s="69">
        <f t="shared" si="29"/>
        <v>22.024681266772912</v>
      </c>
      <c r="M149" s="78">
        <f t="shared" si="27"/>
        <v>0</v>
      </c>
      <c r="N149" s="24"/>
      <c r="O149" s="26">
        <f t="shared" si="30"/>
        <v>92.616429027307831</v>
      </c>
      <c r="P149" s="73"/>
      <c r="Q149" s="72">
        <f t="shared" si="31"/>
        <v>2.5088509564940957</v>
      </c>
      <c r="R149" s="75">
        <f t="shared" si="32"/>
        <v>2.6000000000000005</v>
      </c>
      <c r="S149" s="73"/>
      <c r="T149" s="26">
        <f t="shared" si="33"/>
        <v>33.676667964015323</v>
      </c>
      <c r="U149" s="76">
        <f t="shared" si="34"/>
        <v>30</v>
      </c>
      <c r="V149" s="77">
        <f t="shared" si="37"/>
        <v>0.1</v>
      </c>
      <c r="W149" s="77">
        <f t="shared" si="35"/>
        <v>0.05</v>
      </c>
      <c r="X149" s="84">
        <f t="shared" si="36"/>
        <v>0.11384000000000016</v>
      </c>
    </row>
    <row r="150" spans="2:24" x14ac:dyDescent="0.35">
      <c r="B150" s="2">
        <v>2027</v>
      </c>
      <c r="C150" s="24"/>
      <c r="D150" s="27">
        <v>185.31210542513833</v>
      </c>
      <c r="E150" s="24"/>
      <c r="F150" s="3">
        <v>6773.7000085335503</v>
      </c>
      <c r="G150" s="24"/>
      <c r="H150" s="3">
        <v>36.552927791703084</v>
      </c>
      <c r="I150" s="24"/>
      <c r="J150" s="69">
        <f t="shared" si="28"/>
        <v>25.921355644740423</v>
      </c>
      <c r="K150" s="70"/>
      <c r="L150" s="69">
        <f t="shared" si="29"/>
        <v>23.329220080266381</v>
      </c>
      <c r="M150" s="78">
        <f t="shared" si="27"/>
        <v>0</v>
      </c>
      <c r="N150" s="24"/>
      <c r="O150" s="26">
        <f t="shared" si="30"/>
        <v>93.565242318643953</v>
      </c>
      <c r="P150" s="73"/>
      <c r="Q150" s="72">
        <f t="shared" si="31"/>
        <v>2.5597195073353802</v>
      </c>
      <c r="R150" s="75">
        <f t="shared" si="32"/>
        <v>2.7000000000000006</v>
      </c>
      <c r="S150" s="73"/>
      <c r="T150" s="26">
        <f t="shared" si="33"/>
        <v>33.955540105991588</v>
      </c>
      <c r="U150" s="76">
        <f t="shared" si="34"/>
        <v>30</v>
      </c>
      <c r="V150" s="77">
        <f t="shared" si="37"/>
        <v>0.1</v>
      </c>
      <c r="W150" s="77">
        <f t="shared" si="35"/>
        <v>0.05</v>
      </c>
      <c r="X150" s="84">
        <f t="shared" si="36"/>
        <v>0.11219230769230748</v>
      </c>
    </row>
    <row r="151" spans="2:24" x14ac:dyDescent="0.35">
      <c r="B151" s="2">
        <v>2028</v>
      </c>
      <c r="C151" s="24"/>
      <c r="D151" s="27">
        <v>186.08366866483269</v>
      </c>
      <c r="E151" s="24"/>
      <c r="F151" s="3">
        <v>6735.2205142804805</v>
      </c>
      <c r="G151" s="24"/>
      <c r="H151" s="3">
        <v>36.194581515972374</v>
      </c>
      <c r="I151" s="24"/>
      <c r="J151" s="69">
        <f t="shared" si="28"/>
        <v>26.439782757635236</v>
      </c>
      <c r="K151" s="70"/>
      <c r="L151" s="69">
        <f t="shared" si="29"/>
        <v>24.616349464005221</v>
      </c>
      <c r="M151" s="78">
        <f t="shared" si="27"/>
        <v>0</v>
      </c>
      <c r="N151" s="24"/>
      <c r="O151" s="26">
        <f t="shared" si="30"/>
        <v>94.523775771632501</v>
      </c>
      <c r="P151" s="73"/>
      <c r="Q151" s="72">
        <f t="shared" si="31"/>
        <v>2.6115449277931266</v>
      </c>
      <c r="R151" s="75">
        <f t="shared" si="32"/>
        <v>2.7000000000000006</v>
      </c>
      <c r="S151" s="73"/>
      <c r="T151" s="26">
        <f t="shared" si="33"/>
        <v>34.233464520120712</v>
      </c>
      <c r="U151" s="76">
        <f t="shared" si="34"/>
        <v>29</v>
      </c>
      <c r="V151" s="77">
        <f t="shared" si="37"/>
        <v>0.1</v>
      </c>
      <c r="W151" s="77">
        <f t="shared" si="35"/>
        <v>0.05</v>
      </c>
      <c r="X151" s="84">
        <f t="shared" si="36"/>
        <v>0.10793103448275909</v>
      </c>
    </row>
    <row r="152" spans="2:24" x14ac:dyDescent="0.35">
      <c r="B152" s="2">
        <v>2029</v>
      </c>
      <c r="C152" s="24"/>
      <c r="D152" s="27">
        <v>186.85844437589517</v>
      </c>
      <c r="E152" s="24"/>
      <c r="F152" s="3">
        <v>6697.1508458629414</v>
      </c>
      <c r="G152" s="24"/>
      <c r="H152" s="3">
        <v>35.840771704117202</v>
      </c>
      <c r="I152" s="24"/>
      <c r="J152" s="69">
        <f t="shared" si="28"/>
        <v>26.968578412787942</v>
      </c>
      <c r="K152" s="70"/>
      <c r="L152" s="69">
        <f t="shared" si="29"/>
        <v>26.968578412787949</v>
      </c>
      <c r="M152" s="78">
        <f t="shared" si="27"/>
        <v>0</v>
      </c>
      <c r="N152" s="24"/>
      <c r="O152" s="26">
        <f t="shared" si="30"/>
        <v>95.492128964919161</v>
      </c>
      <c r="P152" s="73"/>
      <c r="Q152" s="72">
        <f t="shared" si="31"/>
        <v>2.6643435513401492</v>
      </c>
      <c r="R152" s="75">
        <f t="shared" si="32"/>
        <v>2.8000000000000007</v>
      </c>
      <c r="S152" s="73"/>
      <c r="T152" s="26">
        <f t="shared" si="33"/>
        <v>34.510391822028573</v>
      </c>
      <c r="U152" s="76">
        <f t="shared" si="34"/>
        <v>28</v>
      </c>
      <c r="V152" s="77">
        <f t="shared" si="37"/>
        <v>0.1</v>
      </c>
      <c r="W152" s="77">
        <f t="shared" si="35"/>
        <v>0.05</v>
      </c>
      <c r="X152" s="84">
        <f t="shared" si="36"/>
        <v>0.15033333333333365</v>
      </c>
    </row>
    <row r="153" spans="2:24" x14ac:dyDescent="0.35">
      <c r="B153" s="2">
        <v>2030</v>
      </c>
      <c r="C153" s="24"/>
      <c r="D153" s="27">
        <v>187.63644593373272</v>
      </c>
      <c r="E153" s="24"/>
      <c r="F153" s="3">
        <v>6659.4866384310653</v>
      </c>
      <c r="G153" s="24"/>
      <c r="H153" s="3">
        <v>35.491434541362963</v>
      </c>
      <c r="I153" s="24"/>
      <c r="J153" s="69">
        <f t="shared" si="28"/>
        <v>27.507949981043705</v>
      </c>
      <c r="K153" s="70"/>
      <c r="L153" s="69">
        <f t="shared" si="29"/>
        <v>29.545575905565471</v>
      </c>
      <c r="M153" s="78">
        <f t="shared" si="27"/>
        <v>0</v>
      </c>
      <c r="N153" s="24"/>
      <c r="O153" s="26">
        <f t="shared" si="30"/>
        <v>96.470402497287651</v>
      </c>
      <c r="P153" s="73"/>
      <c r="Q153" s="72">
        <f t="shared" si="31"/>
        <v>2.7181319589902082</v>
      </c>
      <c r="R153" s="75">
        <f t="shared" si="32"/>
        <v>2.9000000000000008</v>
      </c>
      <c r="S153" s="73"/>
      <c r="T153" s="26">
        <f t="shared" si="33"/>
        <v>34.786273370573383</v>
      </c>
      <c r="U153" s="76">
        <f t="shared" si="34"/>
        <v>27</v>
      </c>
      <c r="V153" s="77">
        <f t="shared" si="37"/>
        <v>0.1</v>
      </c>
      <c r="W153" s="77">
        <f t="shared" si="35"/>
        <v>0.05</v>
      </c>
      <c r="X153" s="84">
        <f t="shared" si="36"/>
        <v>0.15033333333333365</v>
      </c>
    </row>
  </sheetData>
  <mergeCells count="2">
    <mergeCell ref="C18:D18"/>
    <mergeCell ref="P18:Q18"/>
  </mergeCells>
  <conditionalFormatting sqref="X96:X105">
    <cfRule type="expression" dxfId="5" priority="6">
      <formula>X96&gt;V96</formula>
    </cfRule>
  </conditionalFormatting>
  <conditionalFormatting sqref="M20:M29">
    <cfRule type="containsText" dxfId="4" priority="4" operator="containsText" text="No">
      <formula>NOT(ISERROR(SEARCH("No",M20)))</formula>
    </cfRule>
    <cfRule type="containsText" dxfId="3" priority="5" operator="containsText" text="Yes">
      <formula>NOT(ISERROR(SEARCH("Yes",M20)))</formula>
    </cfRule>
  </conditionalFormatting>
  <conditionalFormatting sqref="X144:X153">
    <cfRule type="expression" dxfId="2" priority="3">
      <formula>X144&gt;V144</formula>
    </cfRule>
  </conditionalFormatting>
  <conditionalFormatting sqref="Z20:Z29">
    <cfRule type="containsText" dxfId="1" priority="1" operator="containsText" text="No">
      <formula>NOT(ISERROR(SEARCH("No",Z20)))</formula>
    </cfRule>
    <cfRule type="containsText" dxfId="0" priority="2" operator="containsText" text="Yes">
      <formula>NOT(ISERROR(SEARCH("Yes",Z20)))</formula>
    </cfRule>
  </conditionalFormatting>
  <dataValidations count="1">
    <dataValidation type="list" allowBlank="1" showInputMessage="1" showErrorMessage="1" sqref="C20:C29 P20:P29" xr:uid="{8E1417BE-014C-4EE6-90CB-06D9790C6F38}">
      <formula1>$A$20:$A$30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>
                <anchor moveWithCells="1" sizeWithCells="1">
                  <from>
                    <xdr:col>3</xdr:col>
                    <xdr:colOff>107950</xdr:colOff>
                    <xdr:row>19</xdr:row>
                    <xdr:rowOff>0</xdr:rowOff>
                  </from>
                  <to>
                    <xdr:col>3</xdr:col>
                    <xdr:colOff>438150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Spinner 2">
              <controlPr defaultSize="0" autoPict="0">
                <anchor moveWithCells="1" sizeWithCells="1">
                  <from>
                    <xdr:col>3</xdr:col>
                    <xdr:colOff>107950</xdr:colOff>
                    <xdr:row>20</xdr:row>
                    <xdr:rowOff>0</xdr:rowOff>
                  </from>
                  <to>
                    <xdr:col>3</xdr:col>
                    <xdr:colOff>438150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pinner 3">
              <controlPr defaultSize="0" autoPict="0">
                <anchor moveWithCells="1" sizeWithCells="1">
                  <from>
                    <xdr:col>3</xdr:col>
                    <xdr:colOff>107950</xdr:colOff>
                    <xdr:row>21</xdr:row>
                    <xdr:rowOff>0</xdr:rowOff>
                  </from>
                  <to>
                    <xdr:col>3</xdr:col>
                    <xdr:colOff>438150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pinner 4">
              <controlPr defaultSize="0" autoPict="0">
                <anchor moveWithCells="1" sizeWithCells="1">
                  <from>
                    <xdr:col>3</xdr:col>
                    <xdr:colOff>107950</xdr:colOff>
                    <xdr:row>22</xdr:row>
                    <xdr:rowOff>0</xdr:rowOff>
                  </from>
                  <to>
                    <xdr:col>3</xdr:col>
                    <xdr:colOff>438150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Spinner 5">
              <controlPr defaultSize="0" autoPict="0">
                <anchor moveWithCells="1" sizeWithCells="1">
                  <from>
                    <xdr:col>3</xdr:col>
                    <xdr:colOff>107950</xdr:colOff>
                    <xdr:row>23</xdr:row>
                    <xdr:rowOff>0</xdr:rowOff>
                  </from>
                  <to>
                    <xdr:col>3</xdr:col>
                    <xdr:colOff>438150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Spinner 6">
              <controlPr defaultSize="0" autoPict="0">
                <anchor moveWithCells="1" sizeWithCells="1">
                  <from>
                    <xdr:col>3</xdr:col>
                    <xdr:colOff>107950</xdr:colOff>
                    <xdr:row>24</xdr:row>
                    <xdr:rowOff>12700</xdr:rowOff>
                  </from>
                  <to>
                    <xdr:col>3</xdr:col>
                    <xdr:colOff>438150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Spinner 7">
              <controlPr defaultSize="0" autoPict="0">
                <anchor moveWithCells="1" sizeWithCells="1">
                  <from>
                    <xdr:col>3</xdr:col>
                    <xdr:colOff>107950</xdr:colOff>
                    <xdr:row>25</xdr:row>
                    <xdr:rowOff>12700</xdr:rowOff>
                  </from>
                  <to>
                    <xdr:col>3</xdr:col>
                    <xdr:colOff>438150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Spinner 8">
              <controlPr defaultSize="0" autoPict="0">
                <anchor moveWithCells="1" sizeWithCells="1">
                  <from>
                    <xdr:col>3</xdr:col>
                    <xdr:colOff>107950</xdr:colOff>
                    <xdr:row>25</xdr:row>
                    <xdr:rowOff>273050</xdr:rowOff>
                  </from>
                  <to>
                    <xdr:col>3</xdr:col>
                    <xdr:colOff>438150</xdr:colOff>
                    <xdr:row>26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Spinner 9">
              <controlPr defaultSize="0" autoPict="0">
                <anchor moveWithCells="1" sizeWithCells="1">
                  <from>
                    <xdr:col>3</xdr:col>
                    <xdr:colOff>107950</xdr:colOff>
                    <xdr:row>28</xdr:row>
                    <xdr:rowOff>12700</xdr:rowOff>
                  </from>
                  <to>
                    <xdr:col>3</xdr:col>
                    <xdr:colOff>438150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Spinner 10">
              <controlPr defaultSize="0" autoPict="0">
                <anchor moveWithCells="1" sizeWithCells="1">
                  <from>
                    <xdr:col>4</xdr:col>
                    <xdr:colOff>107950</xdr:colOff>
                    <xdr:row>20</xdr:row>
                    <xdr:rowOff>0</xdr:rowOff>
                  </from>
                  <to>
                    <xdr:col>4</xdr:col>
                    <xdr:colOff>438150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Spinner 11">
              <controlPr defaultSize="0" autoPict="0">
                <anchor moveWithCells="1" sizeWithCells="1">
                  <from>
                    <xdr:col>4</xdr:col>
                    <xdr:colOff>107950</xdr:colOff>
                    <xdr:row>21</xdr:row>
                    <xdr:rowOff>0</xdr:rowOff>
                  </from>
                  <to>
                    <xdr:col>4</xdr:col>
                    <xdr:colOff>438150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Spinner 12">
              <controlPr defaultSize="0" autoPict="0">
                <anchor moveWithCells="1" sizeWithCells="1">
                  <from>
                    <xdr:col>4</xdr:col>
                    <xdr:colOff>107950</xdr:colOff>
                    <xdr:row>22</xdr:row>
                    <xdr:rowOff>0</xdr:rowOff>
                  </from>
                  <to>
                    <xdr:col>4</xdr:col>
                    <xdr:colOff>438150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Spinner 13">
              <controlPr defaultSize="0" autoPict="0">
                <anchor moveWithCells="1" sizeWithCells="1">
                  <from>
                    <xdr:col>4</xdr:col>
                    <xdr:colOff>107950</xdr:colOff>
                    <xdr:row>23</xdr:row>
                    <xdr:rowOff>0</xdr:rowOff>
                  </from>
                  <to>
                    <xdr:col>4</xdr:col>
                    <xdr:colOff>438150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Spinner 14">
              <controlPr defaultSize="0" autoPict="0">
                <anchor moveWithCells="1" sizeWithCells="1">
                  <from>
                    <xdr:col>4</xdr:col>
                    <xdr:colOff>107950</xdr:colOff>
                    <xdr:row>24</xdr:row>
                    <xdr:rowOff>0</xdr:rowOff>
                  </from>
                  <to>
                    <xdr:col>4</xdr:col>
                    <xdr:colOff>438150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Spinner 15">
              <controlPr defaultSize="0" autoPict="0">
                <anchor moveWithCells="1" sizeWithCells="1">
                  <from>
                    <xdr:col>4</xdr:col>
                    <xdr:colOff>107950</xdr:colOff>
                    <xdr:row>25</xdr:row>
                    <xdr:rowOff>0</xdr:rowOff>
                  </from>
                  <to>
                    <xdr:col>4</xdr:col>
                    <xdr:colOff>438150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Spinner 16">
              <controlPr defaultSize="0" autoPict="0">
                <anchor moveWithCells="1" sizeWithCells="1">
                  <from>
                    <xdr:col>4</xdr:col>
                    <xdr:colOff>107950</xdr:colOff>
                    <xdr:row>26</xdr:row>
                    <xdr:rowOff>0</xdr:rowOff>
                  </from>
                  <to>
                    <xdr:col>4</xdr:col>
                    <xdr:colOff>438150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Spinner 17">
              <controlPr defaultSize="0" autoPict="0">
                <anchor moveWithCells="1" sizeWithCells="1">
                  <from>
                    <xdr:col>4</xdr:col>
                    <xdr:colOff>107950</xdr:colOff>
                    <xdr:row>27</xdr:row>
                    <xdr:rowOff>0</xdr:rowOff>
                  </from>
                  <to>
                    <xdr:col>4</xdr:col>
                    <xdr:colOff>438150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Spinner 18">
              <controlPr defaultSize="0" autoPict="0">
                <anchor moveWithCells="1" sizeWithCells="1">
                  <from>
                    <xdr:col>4</xdr:col>
                    <xdr:colOff>107950</xdr:colOff>
                    <xdr:row>28</xdr:row>
                    <xdr:rowOff>0</xdr:rowOff>
                  </from>
                  <to>
                    <xdr:col>4</xdr:col>
                    <xdr:colOff>438150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Spinner 19">
              <controlPr defaultSize="0" autoPict="0">
                <anchor moveWithCells="1" sizeWithCells="1">
                  <from>
                    <xdr:col>3</xdr:col>
                    <xdr:colOff>107950</xdr:colOff>
                    <xdr:row>27</xdr:row>
                    <xdr:rowOff>0</xdr:rowOff>
                  </from>
                  <to>
                    <xdr:col>3</xdr:col>
                    <xdr:colOff>438150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Spinner 21">
              <controlPr defaultSize="0" autoPict="0">
                <anchor moveWithCells="1" sizeWithCells="1">
                  <from>
                    <xdr:col>16</xdr:col>
                    <xdr:colOff>107950</xdr:colOff>
                    <xdr:row>19</xdr:row>
                    <xdr:rowOff>0</xdr:rowOff>
                  </from>
                  <to>
                    <xdr:col>16</xdr:col>
                    <xdr:colOff>438150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4" name="Spinner 22">
              <controlPr defaultSize="0" autoPict="0">
                <anchor moveWithCells="1" sizeWithCells="1">
                  <from>
                    <xdr:col>16</xdr:col>
                    <xdr:colOff>107950</xdr:colOff>
                    <xdr:row>20</xdr:row>
                    <xdr:rowOff>0</xdr:rowOff>
                  </from>
                  <to>
                    <xdr:col>16</xdr:col>
                    <xdr:colOff>438150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5" name="Spinner 23">
              <controlPr defaultSize="0" autoPict="0">
                <anchor moveWithCells="1" sizeWithCells="1">
                  <from>
                    <xdr:col>16</xdr:col>
                    <xdr:colOff>107950</xdr:colOff>
                    <xdr:row>21</xdr:row>
                    <xdr:rowOff>0</xdr:rowOff>
                  </from>
                  <to>
                    <xdr:col>16</xdr:col>
                    <xdr:colOff>438150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6" name="Spinner 24">
              <controlPr defaultSize="0" autoPict="0">
                <anchor moveWithCells="1" sizeWithCells="1">
                  <from>
                    <xdr:col>16</xdr:col>
                    <xdr:colOff>107950</xdr:colOff>
                    <xdr:row>22</xdr:row>
                    <xdr:rowOff>0</xdr:rowOff>
                  </from>
                  <to>
                    <xdr:col>16</xdr:col>
                    <xdr:colOff>438150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7" name="Spinner 25">
              <controlPr defaultSize="0" autoPict="0">
                <anchor moveWithCells="1" sizeWithCells="1">
                  <from>
                    <xdr:col>16</xdr:col>
                    <xdr:colOff>107950</xdr:colOff>
                    <xdr:row>23</xdr:row>
                    <xdr:rowOff>0</xdr:rowOff>
                  </from>
                  <to>
                    <xdr:col>16</xdr:col>
                    <xdr:colOff>438150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8" name="Spinner 26">
              <controlPr defaultSize="0" autoPict="0">
                <anchor moveWithCells="1" sizeWithCells="1">
                  <from>
                    <xdr:col>16</xdr:col>
                    <xdr:colOff>107950</xdr:colOff>
                    <xdr:row>24</xdr:row>
                    <xdr:rowOff>12700</xdr:rowOff>
                  </from>
                  <to>
                    <xdr:col>16</xdr:col>
                    <xdr:colOff>438150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Spinner 27">
              <controlPr defaultSize="0" autoPict="0">
                <anchor moveWithCells="1" sizeWithCells="1">
                  <from>
                    <xdr:col>16</xdr:col>
                    <xdr:colOff>107950</xdr:colOff>
                    <xdr:row>25</xdr:row>
                    <xdr:rowOff>12700</xdr:rowOff>
                  </from>
                  <to>
                    <xdr:col>16</xdr:col>
                    <xdr:colOff>438150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Spinner 28">
              <controlPr defaultSize="0" autoPict="0">
                <anchor moveWithCells="1" sizeWithCells="1">
                  <from>
                    <xdr:col>16</xdr:col>
                    <xdr:colOff>107950</xdr:colOff>
                    <xdr:row>25</xdr:row>
                    <xdr:rowOff>273050</xdr:rowOff>
                  </from>
                  <to>
                    <xdr:col>16</xdr:col>
                    <xdr:colOff>438150</xdr:colOff>
                    <xdr:row>26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Spinner 29">
              <controlPr defaultSize="0" autoPict="0">
                <anchor moveWithCells="1" sizeWithCells="1">
                  <from>
                    <xdr:col>16</xdr:col>
                    <xdr:colOff>107950</xdr:colOff>
                    <xdr:row>28</xdr:row>
                    <xdr:rowOff>12700</xdr:rowOff>
                  </from>
                  <to>
                    <xdr:col>16</xdr:col>
                    <xdr:colOff>438150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2" name="Spinner 39">
              <controlPr defaultSize="0" autoPict="0">
                <anchor moveWithCells="1" sizeWithCells="1">
                  <from>
                    <xdr:col>16</xdr:col>
                    <xdr:colOff>107950</xdr:colOff>
                    <xdr:row>27</xdr:row>
                    <xdr:rowOff>0</xdr:rowOff>
                  </from>
                  <to>
                    <xdr:col>16</xdr:col>
                    <xdr:colOff>438150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B04F0C89A71141A0CCEA307E3896C7" ma:contentTypeVersion="9" ma:contentTypeDescription="Create a new document." ma:contentTypeScope="" ma:versionID="0084458e7d7e6acb9831c0bcd6c0ab5c">
  <xsd:schema xmlns:xsd="http://www.w3.org/2001/XMLSchema" xmlns:xs="http://www.w3.org/2001/XMLSchema" xmlns:p="http://schemas.microsoft.com/office/2006/metadata/properties" xmlns:ns3="81027353-0c01-4653-a8f8-d9ca7e35dc4c" xmlns:ns4="615e5b51-9c72-4483-be22-a14e95b20c92" targetNamespace="http://schemas.microsoft.com/office/2006/metadata/properties" ma:root="true" ma:fieldsID="f8be237b2f10619e5c4985681d4272cd" ns3:_="" ns4:_="">
    <xsd:import namespace="81027353-0c01-4653-a8f8-d9ca7e35dc4c"/>
    <xsd:import namespace="615e5b51-9c72-4483-be22-a14e95b20c9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027353-0c01-4653-a8f8-d9ca7e35dc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5e5b51-9c72-4483-be22-a14e95b20c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9A255E7-28AF-4216-B9B6-6009C78154F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BAF85A-B68C-449C-B4BB-18A79AA9A0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027353-0c01-4653-a8f8-d9ca7e35dc4c"/>
    <ds:schemaRef ds:uri="615e5b51-9c72-4483-be22-a14e95b20c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249FBD8-D7AE-4792-AABA-2262798A11DA}">
  <ds:schemaRefs>
    <ds:schemaRef ds:uri="http://purl.org/dc/terms/"/>
    <ds:schemaRef ds:uri="http://schemas.openxmlformats.org/package/2006/metadata/core-properties"/>
    <ds:schemaRef ds:uri="81027353-0c01-4653-a8f8-d9ca7e35dc4c"/>
    <ds:schemaRef ds:uri="http://schemas.microsoft.com/office/2006/documentManagement/types"/>
    <ds:schemaRef ds:uri="http://schemas.microsoft.com/office/infopath/2007/PartnerControls"/>
    <ds:schemaRef ds:uri="615e5b51-9c72-4483-be22-a14e95b20c92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Screening</vt:lpstr>
      <vt:lpstr>Model</vt:lpstr>
      <vt:lpstr>Interactive_Chart</vt:lpstr>
      <vt:lpstr>Different Growth 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2022-09-23T07:28:56Z</dcterms:created>
  <dcterms:modified xsi:type="dcterms:W3CDTF">2022-10-30T15:10:14Z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0x0101001BB04F0C89A71141A0CCEA307E3896C7</vt:lpwstr>
  </property>
</Properties>
</file>